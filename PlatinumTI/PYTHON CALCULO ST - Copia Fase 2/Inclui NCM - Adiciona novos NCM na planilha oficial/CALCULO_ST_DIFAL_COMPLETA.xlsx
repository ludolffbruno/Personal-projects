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Ludolff\Desktop\PYTHON CALCULO ST\Inclui NCM - Adiciona novos NCM na planilha oficial\"/>
    </mc:Choice>
  </mc:AlternateContent>
  <xr:revisionPtr revIDLastSave="0" documentId="13_ncr:1_{06B9245E-DFC8-49FC-AB9E-1B2203E5ED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4" i="1" l="1"/>
  <c r="F234" i="1"/>
  <c r="L234" i="1" s="1"/>
  <c r="K233" i="1"/>
  <c r="F233" i="1"/>
  <c r="L233" i="1" s="1"/>
  <c r="K232" i="1"/>
  <c r="F232" i="1"/>
  <c r="L232" i="1" s="1"/>
  <c r="K231" i="1"/>
  <c r="M231" i="1" s="1"/>
  <c r="F231" i="1"/>
  <c r="L231" i="1" s="1"/>
  <c r="K230" i="1"/>
  <c r="M230" i="1" s="1"/>
  <c r="F230" i="1"/>
  <c r="L230" i="1" s="1"/>
  <c r="M229" i="1"/>
  <c r="K229" i="1"/>
  <c r="F229" i="1"/>
  <c r="L229" i="1" s="1"/>
  <c r="K228" i="1"/>
  <c r="F228" i="1"/>
  <c r="L228" i="1" s="1"/>
  <c r="M227" i="1"/>
  <c r="K227" i="1"/>
  <c r="F227" i="1"/>
  <c r="L227" i="1" s="1"/>
  <c r="K226" i="1"/>
  <c r="F226" i="1"/>
  <c r="L226" i="1" s="1"/>
  <c r="K225" i="1"/>
  <c r="M225" i="1" s="1"/>
  <c r="F225" i="1"/>
  <c r="L225" i="1" s="1"/>
  <c r="K224" i="1"/>
  <c r="M224" i="1" s="1"/>
  <c r="F224" i="1"/>
  <c r="L224" i="1" s="1"/>
  <c r="K223" i="1"/>
  <c r="M223" i="1" s="1"/>
  <c r="F223" i="1"/>
  <c r="L223" i="1" s="1"/>
  <c r="K222" i="1"/>
  <c r="F222" i="1"/>
  <c r="L222" i="1" s="1"/>
  <c r="M221" i="1"/>
  <c r="K221" i="1"/>
  <c r="F221" i="1"/>
  <c r="L221" i="1" s="1"/>
  <c r="K220" i="1"/>
  <c r="F220" i="1"/>
  <c r="L220" i="1" s="1"/>
  <c r="M219" i="1"/>
  <c r="K219" i="1"/>
  <c r="F219" i="1"/>
  <c r="L219" i="1" s="1"/>
  <c r="K218" i="1"/>
  <c r="M218" i="1" s="1"/>
  <c r="F218" i="1"/>
  <c r="L218" i="1" s="1"/>
  <c r="K217" i="1"/>
  <c r="F217" i="1"/>
  <c r="L217" i="1" s="1"/>
  <c r="M217" i="1" s="1"/>
  <c r="K216" i="1"/>
  <c r="M216" i="1" s="1"/>
  <c r="F216" i="1"/>
  <c r="L216" i="1" s="1"/>
  <c r="K215" i="1"/>
  <c r="M215" i="1" s="1"/>
  <c r="F215" i="1"/>
  <c r="L215" i="1" s="1"/>
  <c r="K214" i="1"/>
  <c r="M214" i="1" s="1"/>
  <c r="F214" i="1"/>
  <c r="L214" i="1" s="1"/>
  <c r="K213" i="1"/>
  <c r="M213" i="1" s="1"/>
  <c r="F213" i="1"/>
  <c r="L213" i="1" s="1"/>
  <c r="K212" i="1"/>
  <c r="F212" i="1"/>
  <c r="L212" i="1" s="1"/>
  <c r="M211" i="1"/>
  <c r="K211" i="1"/>
  <c r="F211" i="1"/>
  <c r="L211" i="1" s="1"/>
  <c r="K210" i="1"/>
  <c r="F210" i="1"/>
  <c r="L210" i="1" s="1"/>
  <c r="K209" i="1"/>
  <c r="M209" i="1" s="1"/>
  <c r="F209" i="1"/>
  <c r="L209" i="1" s="1"/>
  <c r="K208" i="1"/>
  <c r="M208" i="1" s="1"/>
  <c r="F208" i="1"/>
  <c r="L208" i="1" s="1"/>
  <c r="K207" i="1"/>
  <c r="M207" i="1" s="1"/>
  <c r="F207" i="1"/>
  <c r="L207" i="1" s="1"/>
  <c r="K206" i="1"/>
  <c r="F206" i="1"/>
  <c r="L206" i="1" s="1"/>
  <c r="M205" i="1"/>
  <c r="K205" i="1"/>
  <c r="F205" i="1"/>
  <c r="L205" i="1" s="1"/>
  <c r="K204" i="1"/>
  <c r="F204" i="1"/>
  <c r="L204" i="1" s="1"/>
  <c r="M203" i="1"/>
  <c r="K203" i="1"/>
  <c r="F203" i="1"/>
  <c r="L203" i="1" s="1"/>
  <c r="K202" i="1"/>
  <c r="M202" i="1" s="1"/>
  <c r="F202" i="1"/>
  <c r="L202" i="1" s="1"/>
  <c r="K201" i="1"/>
  <c r="F201" i="1"/>
  <c r="L201" i="1" s="1"/>
  <c r="M201" i="1" s="1"/>
  <c r="K200" i="1"/>
  <c r="M200" i="1" s="1"/>
  <c r="F200" i="1"/>
  <c r="L200" i="1" s="1"/>
  <c r="K199" i="1"/>
  <c r="M199" i="1" s="1"/>
  <c r="F199" i="1"/>
  <c r="L199" i="1" s="1"/>
  <c r="K198" i="1"/>
  <c r="M198" i="1" s="1"/>
  <c r="F198" i="1"/>
  <c r="L198" i="1" s="1"/>
  <c r="K197" i="1"/>
  <c r="M197" i="1" s="1"/>
  <c r="F197" i="1"/>
  <c r="L197" i="1" s="1"/>
  <c r="K196" i="1"/>
  <c r="F196" i="1"/>
  <c r="L196" i="1" s="1"/>
  <c r="M195" i="1"/>
  <c r="K195" i="1"/>
  <c r="F195" i="1"/>
  <c r="L195" i="1" s="1"/>
  <c r="K194" i="1"/>
  <c r="F194" i="1"/>
  <c r="L194" i="1" s="1"/>
  <c r="K193" i="1"/>
  <c r="M193" i="1" s="1"/>
  <c r="F193" i="1"/>
  <c r="L193" i="1" s="1"/>
  <c r="K192" i="1"/>
  <c r="M192" i="1" s="1"/>
  <c r="F192" i="1"/>
  <c r="L192" i="1" s="1"/>
  <c r="K191" i="1"/>
  <c r="M191" i="1" s="1"/>
  <c r="F191" i="1"/>
  <c r="L191" i="1" s="1"/>
  <c r="K190" i="1"/>
  <c r="F190" i="1"/>
  <c r="L190" i="1" s="1"/>
  <c r="M189" i="1"/>
  <c r="K189" i="1"/>
  <c r="F189" i="1"/>
  <c r="L189" i="1" s="1"/>
  <c r="K188" i="1"/>
  <c r="F188" i="1"/>
  <c r="L188" i="1" s="1"/>
  <c r="M187" i="1"/>
  <c r="K187" i="1"/>
  <c r="F187" i="1"/>
  <c r="L187" i="1" s="1"/>
  <c r="K186" i="1"/>
  <c r="M186" i="1" s="1"/>
  <c r="F186" i="1"/>
  <c r="L186" i="1" s="1"/>
  <c r="K185" i="1"/>
  <c r="F185" i="1"/>
  <c r="L185" i="1" s="1"/>
  <c r="M185" i="1" s="1"/>
  <c r="K184" i="1"/>
  <c r="M184" i="1" s="1"/>
  <c r="F184" i="1"/>
  <c r="L184" i="1" s="1"/>
  <c r="K183" i="1"/>
  <c r="M183" i="1" s="1"/>
  <c r="F183" i="1"/>
  <c r="L183" i="1" s="1"/>
  <c r="K182" i="1"/>
  <c r="M182" i="1" s="1"/>
  <c r="F182" i="1"/>
  <c r="L182" i="1" s="1"/>
  <c r="K181" i="1"/>
  <c r="M181" i="1" s="1"/>
  <c r="F181" i="1"/>
  <c r="L181" i="1" s="1"/>
  <c r="K180" i="1"/>
  <c r="F180" i="1"/>
  <c r="L180" i="1" s="1"/>
  <c r="M179" i="1"/>
  <c r="K179" i="1"/>
  <c r="F179" i="1"/>
  <c r="L179" i="1" s="1"/>
  <c r="K178" i="1"/>
  <c r="F178" i="1"/>
  <c r="L178" i="1" s="1"/>
  <c r="K177" i="1"/>
  <c r="M177" i="1" s="1"/>
  <c r="F177" i="1"/>
  <c r="L177" i="1" s="1"/>
  <c r="K176" i="1"/>
  <c r="M176" i="1" s="1"/>
  <c r="F176" i="1"/>
  <c r="L176" i="1" s="1"/>
  <c r="K175" i="1"/>
  <c r="M175" i="1" s="1"/>
  <c r="F175" i="1"/>
  <c r="L175" i="1" s="1"/>
  <c r="K174" i="1"/>
  <c r="F174" i="1"/>
  <c r="L174" i="1" s="1"/>
  <c r="M173" i="1"/>
  <c r="K173" i="1"/>
  <c r="F173" i="1"/>
  <c r="L173" i="1" s="1"/>
  <c r="K172" i="1"/>
  <c r="F172" i="1"/>
  <c r="L172" i="1" s="1"/>
  <c r="M171" i="1"/>
  <c r="K171" i="1"/>
  <c r="F171" i="1"/>
  <c r="L171" i="1" s="1"/>
  <c r="K170" i="1"/>
  <c r="M170" i="1" s="1"/>
  <c r="F170" i="1"/>
  <c r="L170" i="1" s="1"/>
  <c r="K169" i="1"/>
  <c r="F169" i="1"/>
  <c r="L169" i="1" s="1"/>
  <c r="M169" i="1" s="1"/>
  <c r="K168" i="1"/>
  <c r="M168" i="1" s="1"/>
  <c r="F168" i="1"/>
  <c r="L168" i="1" s="1"/>
  <c r="K167" i="1"/>
  <c r="M167" i="1" s="1"/>
  <c r="F167" i="1"/>
  <c r="L167" i="1" s="1"/>
  <c r="K166" i="1"/>
  <c r="M166" i="1" s="1"/>
  <c r="F166" i="1"/>
  <c r="L166" i="1" s="1"/>
  <c r="K165" i="1"/>
  <c r="M165" i="1" s="1"/>
  <c r="F165" i="1"/>
  <c r="L165" i="1" s="1"/>
  <c r="K164" i="1"/>
  <c r="F164" i="1"/>
  <c r="L164" i="1" s="1"/>
  <c r="M163" i="1"/>
  <c r="K163" i="1"/>
  <c r="F163" i="1"/>
  <c r="L163" i="1" s="1"/>
  <c r="K162" i="1"/>
  <c r="F162" i="1"/>
  <c r="L162" i="1" s="1"/>
  <c r="K161" i="1"/>
  <c r="M161" i="1" s="1"/>
  <c r="F161" i="1"/>
  <c r="L161" i="1" s="1"/>
  <c r="K160" i="1"/>
  <c r="M160" i="1" s="1"/>
  <c r="F160" i="1"/>
  <c r="L160" i="1" s="1"/>
  <c r="K159" i="1"/>
  <c r="M159" i="1" s="1"/>
  <c r="F159" i="1"/>
  <c r="L159" i="1" s="1"/>
  <c r="K158" i="1"/>
  <c r="F158" i="1"/>
  <c r="L158" i="1" s="1"/>
  <c r="M157" i="1"/>
  <c r="K157" i="1"/>
  <c r="F157" i="1"/>
  <c r="L157" i="1" s="1"/>
  <c r="K156" i="1"/>
  <c r="F156" i="1"/>
  <c r="L156" i="1" s="1"/>
  <c r="M155" i="1"/>
  <c r="K155" i="1"/>
  <c r="F155" i="1"/>
  <c r="L155" i="1" s="1"/>
  <c r="K154" i="1"/>
  <c r="M154" i="1" s="1"/>
  <c r="F154" i="1"/>
  <c r="L154" i="1" s="1"/>
  <c r="K153" i="1"/>
  <c r="F153" i="1"/>
  <c r="L153" i="1" s="1"/>
  <c r="M153" i="1" s="1"/>
  <c r="K152" i="1"/>
  <c r="M152" i="1" s="1"/>
  <c r="F152" i="1"/>
  <c r="L152" i="1" s="1"/>
  <c r="K151" i="1"/>
  <c r="M151" i="1" s="1"/>
  <c r="F151" i="1"/>
  <c r="L151" i="1" s="1"/>
  <c r="K150" i="1"/>
  <c r="M150" i="1" s="1"/>
  <c r="F150" i="1"/>
  <c r="L150" i="1" s="1"/>
  <c r="K149" i="1"/>
  <c r="M149" i="1" s="1"/>
  <c r="F149" i="1"/>
  <c r="L149" i="1" s="1"/>
  <c r="K148" i="1"/>
  <c r="F148" i="1"/>
  <c r="L148" i="1" s="1"/>
  <c r="M147" i="1"/>
  <c r="K147" i="1"/>
  <c r="F147" i="1"/>
  <c r="L147" i="1" s="1"/>
  <c r="K146" i="1"/>
  <c r="F146" i="1"/>
  <c r="L146" i="1" s="1"/>
  <c r="K145" i="1"/>
  <c r="M145" i="1" s="1"/>
  <c r="F145" i="1"/>
  <c r="L145" i="1" s="1"/>
  <c r="K144" i="1"/>
  <c r="M144" i="1" s="1"/>
  <c r="F144" i="1"/>
  <c r="L144" i="1" s="1"/>
  <c r="K143" i="1"/>
  <c r="M143" i="1" s="1"/>
  <c r="F143" i="1"/>
  <c r="L143" i="1" s="1"/>
  <c r="K142" i="1"/>
  <c r="F142" i="1"/>
  <c r="L142" i="1" s="1"/>
  <c r="M141" i="1"/>
  <c r="L141" i="1"/>
  <c r="K141" i="1"/>
  <c r="F141" i="1"/>
  <c r="K140" i="1"/>
  <c r="F140" i="1"/>
  <c r="L140" i="1" s="1"/>
  <c r="L139" i="1"/>
  <c r="K139" i="1"/>
  <c r="M139" i="1" s="1"/>
  <c r="F139" i="1"/>
  <c r="K138" i="1"/>
  <c r="M138" i="1" s="1"/>
  <c r="F138" i="1"/>
  <c r="L138" i="1" s="1"/>
  <c r="L137" i="1"/>
  <c r="M137" i="1" s="1"/>
  <c r="K137" i="1"/>
  <c r="F137" i="1"/>
  <c r="K136" i="1"/>
  <c r="M136" i="1" s="1"/>
  <c r="F136" i="1"/>
  <c r="L136" i="1" s="1"/>
  <c r="K135" i="1"/>
  <c r="F135" i="1"/>
  <c r="L135" i="1" s="1"/>
  <c r="K134" i="1"/>
  <c r="F134" i="1"/>
  <c r="L134" i="1" s="1"/>
  <c r="M133" i="1"/>
  <c r="L133" i="1"/>
  <c r="K133" i="1"/>
  <c r="F133" i="1"/>
  <c r="K132" i="1"/>
  <c r="F132" i="1"/>
  <c r="L132" i="1" s="1"/>
  <c r="L131" i="1"/>
  <c r="K131" i="1"/>
  <c r="M131" i="1" s="1"/>
  <c r="F131" i="1"/>
  <c r="K130" i="1"/>
  <c r="F130" i="1"/>
  <c r="L130" i="1" s="1"/>
  <c r="L129" i="1"/>
  <c r="M129" i="1" s="1"/>
  <c r="K129" i="1"/>
  <c r="F129" i="1"/>
  <c r="K128" i="1"/>
  <c r="M128" i="1" s="1"/>
  <c r="F128" i="1"/>
  <c r="L128" i="1" s="1"/>
  <c r="K127" i="1"/>
  <c r="M127" i="1" s="1"/>
  <c r="F127" i="1"/>
  <c r="L127" i="1" s="1"/>
  <c r="K126" i="1"/>
  <c r="F126" i="1"/>
  <c r="L126" i="1" s="1"/>
  <c r="K125" i="1"/>
  <c r="F125" i="1"/>
  <c r="L125" i="1" s="1"/>
  <c r="M125" i="1" s="1"/>
  <c r="K124" i="1"/>
  <c r="F124" i="1"/>
  <c r="L124" i="1" s="1"/>
  <c r="L123" i="1"/>
  <c r="K123" i="1"/>
  <c r="M123" i="1" s="1"/>
  <c r="F123" i="1"/>
  <c r="K122" i="1"/>
  <c r="F122" i="1"/>
  <c r="L122" i="1" s="1"/>
  <c r="L121" i="1"/>
  <c r="M121" i="1" s="1"/>
  <c r="K121" i="1"/>
  <c r="F121" i="1"/>
  <c r="K120" i="1"/>
  <c r="M120" i="1" s="1"/>
  <c r="F120" i="1"/>
  <c r="L120" i="1" s="1"/>
  <c r="K119" i="1"/>
  <c r="F119" i="1"/>
  <c r="L119" i="1" s="1"/>
  <c r="K118" i="1"/>
  <c r="F118" i="1"/>
  <c r="L118" i="1" s="1"/>
  <c r="K117" i="1"/>
  <c r="F117" i="1"/>
  <c r="L117" i="1" s="1"/>
  <c r="M117" i="1" s="1"/>
  <c r="K116" i="1"/>
  <c r="F116" i="1"/>
  <c r="L116" i="1" s="1"/>
  <c r="L115" i="1"/>
  <c r="K115" i="1"/>
  <c r="M115" i="1" s="1"/>
  <c r="F115" i="1"/>
  <c r="K114" i="1"/>
  <c r="F114" i="1"/>
  <c r="L114" i="1" s="1"/>
  <c r="L113" i="1"/>
  <c r="M113" i="1" s="1"/>
  <c r="K113" i="1"/>
  <c r="F113" i="1"/>
  <c r="K112" i="1"/>
  <c r="M112" i="1" s="1"/>
  <c r="F112" i="1"/>
  <c r="L112" i="1" s="1"/>
  <c r="K111" i="1"/>
  <c r="F111" i="1"/>
  <c r="L111" i="1" s="1"/>
  <c r="K110" i="1"/>
  <c r="F110" i="1"/>
  <c r="L110" i="1" s="1"/>
  <c r="K109" i="1"/>
  <c r="F109" i="1"/>
  <c r="L109" i="1" s="1"/>
  <c r="M109" i="1" s="1"/>
  <c r="K108" i="1"/>
  <c r="F108" i="1"/>
  <c r="L108" i="1" s="1"/>
  <c r="L107" i="1"/>
  <c r="K107" i="1"/>
  <c r="M107" i="1" s="1"/>
  <c r="F107" i="1"/>
  <c r="K106" i="1"/>
  <c r="F106" i="1"/>
  <c r="L106" i="1" s="1"/>
  <c r="L105" i="1"/>
  <c r="M105" i="1" s="1"/>
  <c r="K105" i="1"/>
  <c r="F105" i="1"/>
  <c r="K104" i="1"/>
  <c r="M104" i="1" s="1"/>
  <c r="F104" i="1"/>
  <c r="L104" i="1" s="1"/>
  <c r="K103" i="1"/>
  <c r="F103" i="1"/>
  <c r="L103" i="1" s="1"/>
  <c r="K102" i="1"/>
  <c r="F102" i="1"/>
  <c r="L102" i="1" s="1"/>
  <c r="K101" i="1"/>
  <c r="F101" i="1"/>
  <c r="L101" i="1" s="1"/>
  <c r="M101" i="1" s="1"/>
  <c r="K100" i="1"/>
  <c r="F100" i="1"/>
  <c r="L100" i="1" s="1"/>
  <c r="L99" i="1"/>
  <c r="K99" i="1"/>
  <c r="M99" i="1" s="1"/>
  <c r="F99" i="1"/>
  <c r="K98" i="1"/>
  <c r="F98" i="1"/>
  <c r="L98" i="1" s="1"/>
  <c r="L97" i="1"/>
  <c r="M97" i="1" s="1"/>
  <c r="K97" i="1"/>
  <c r="F97" i="1"/>
  <c r="K96" i="1"/>
  <c r="M96" i="1" s="1"/>
  <c r="F96" i="1"/>
  <c r="L96" i="1" s="1"/>
  <c r="K95" i="1"/>
  <c r="M95" i="1" s="1"/>
  <c r="F95" i="1"/>
  <c r="L95" i="1" s="1"/>
  <c r="K94" i="1"/>
  <c r="F94" i="1"/>
  <c r="L94" i="1" s="1"/>
  <c r="K93" i="1"/>
  <c r="F93" i="1"/>
  <c r="L93" i="1" s="1"/>
  <c r="M93" i="1" s="1"/>
  <c r="K92" i="1"/>
  <c r="F92" i="1"/>
  <c r="L92" i="1" s="1"/>
  <c r="L91" i="1"/>
  <c r="K91" i="1"/>
  <c r="M91" i="1" s="1"/>
  <c r="F91" i="1"/>
  <c r="K90" i="1"/>
  <c r="F90" i="1"/>
  <c r="L90" i="1" s="1"/>
  <c r="L89" i="1"/>
  <c r="M89" i="1" s="1"/>
  <c r="K89" i="1"/>
  <c r="F89" i="1"/>
  <c r="K88" i="1"/>
  <c r="M88" i="1" s="1"/>
  <c r="F88" i="1"/>
  <c r="L88" i="1" s="1"/>
  <c r="K87" i="1"/>
  <c r="F87" i="1"/>
  <c r="L87" i="1" s="1"/>
  <c r="K86" i="1"/>
  <c r="F86" i="1"/>
  <c r="L86" i="1" s="1"/>
  <c r="K85" i="1"/>
  <c r="F85" i="1"/>
  <c r="L85" i="1" s="1"/>
  <c r="M85" i="1" s="1"/>
  <c r="K84" i="1"/>
  <c r="F84" i="1"/>
  <c r="L84" i="1" s="1"/>
  <c r="L83" i="1"/>
  <c r="K83" i="1"/>
  <c r="M83" i="1" s="1"/>
  <c r="F83" i="1"/>
  <c r="K82" i="1"/>
  <c r="F82" i="1"/>
  <c r="L82" i="1" s="1"/>
  <c r="L81" i="1"/>
  <c r="M81" i="1" s="1"/>
  <c r="K81" i="1"/>
  <c r="F81" i="1"/>
  <c r="K80" i="1"/>
  <c r="M80" i="1" s="1"/>
  <c r="F80" i="1"/>
  <c r="L80" i="1" s="1"/>
  <c r="K79" i="1"/>
  <c r="F79" i="1"/>
  <c r="L79" i="1" s="1"/>
  <c r="K78" i="1"/>
  <c r="F78" i="1"/>
  <c r="L78" i="1" s="1"/>
  <c r="K77" i="1"/>
  <c r="F77" i="1"/>
  <c r="L77" i="1" s="1"/>
  <c r="M77" i="1" s="1"/>
  <c r="K76" i="1"/>
  <c r="F76" i="1"/>
  <c r="L76" i="1" s="1"/>
  <c r="L75" i="1"/>
  <c r="K75" i="1"/>
  <c r="M75" i="1" s="1"/>
  <c r="F75" i="1"/>
  <c r="K74" i="1"/>
  <c r="F74" i="1"/>
  <c r="L74" i="1" s="1"/>
  <c r="L73" i="1"/>
  <c r="M73" i="1" s="1"/>
  <c r="K73" i="1"/>
  <c r="F73" i="1"/>
  <c r="K72" i="1"/>
  <c r="M72" i="1" s="1"/>
  <c r="F72" i="1"/>
  <c r="L72" i="1" s="1"/>
  <c r="K71" i="1"/>
  <c r="F71" i="1"/>
  <c r="L71" i="1" s="1"/>
  <c r="K70" i="1"/>
  <c r="F70" i="1"/>
  <c r="L70" i="1" s="1"/>
  <c r="K69" i="1"/>
  <c r="F69" i="1"/>
  <c r="L69" i="1" s="1"/>
  <c r="M69" i="1" s="1"/>
  <c r="K68" i="1"/>
  <c r="F68" i="1"/>
  <c r="L68" i="1" s="1"/>
  <c r="L67" i="1"/>
  <c r="K67" i="1"/>
  <c r="M67" i="1" s="1"/>
  <c r="F67" i="1"/>
  <c r="K66" i="1"/>
  <c r="F66" i="1"/>
  <c r="L66" i="1" s="1"/>
  <c r="L65" i="1"/>
  <c r="M65" i="1" s="1"/>
  <c r="K65" i="1"/>
  <c r="F65" i="1"/>
  <c r="K64" i="1"/>
  <c r="F64" i="1"/>
  <c r="L64" i="1" s="1"/>
  <c r="M64" i="1" s="1"/>
  <c r="L63" i="1"/>
  <c r="M63" i="1" s="1"/>
  <c r="K63" i="1"/>
  <c r="F63" i="1"/>
  <c r="K62" i="1"/>
  <c r="F62" i="1"/>
  <c r="L62" i="1" s="1"/>
  <c r="M62" i="1" s="1"/>
  <c r="L61" i="1"/>
  <c r="M61" i="1" s="1"/>
  <c r="K61" i="1"/>
  <c r="F61" i="1"/>
  <c r="K60" i="1"/>
  <c r="F60" i="1"/>
  <c r="L60" i="1" s="1"/>
  <c r="M60" i="1" s="1"/>
  <c r="L59" i="1"/>
  <c r="M59" i="1" s="1"/>
  <c r="K59" i="1"/>
  <c r="F59" i="1"/>
  <c r="K58" i="1"/>
  <c r="F58" i="1"/>
  <c r="L58" i="1" s="1"/>
  <c r="M58" i="1" s="1"/>
  <c r="L57" i="1"/>
  <c r="M57" i="1" s="1"/>
  <c r="K57" i="1"/>
  <c r="F57" i="1"/>
  <c r="K56" i="1"/>
  <c r="F56" i="1"/>
  <c r="L56" i="1" s="1"/>
  <c r="M56" i="1" s="1"/>
  <c r="L55" i="1"/>
  <c r="M55" i="1" s="1"/>
  <c r="K55" i="1"/>
  <c r="F55" i="1"/>
  <c r="K54" i="1"/>
  <c r="F54" i="1"/>
  <c r="L54" i="1" s="1"/>
  <c r="M54" i="1" s="1"/>
  <c r="L53" i="1"/>
  <c r="M53" i="1" s="1"/>
  <c r="K53" i="1"/>
  <c r="F53" i="1"/>
  <c r="K52" i="1"/>
  <c r="F52" i="1"/>
  <c r="L52" i="1" s="1"/>
  <c r="M52" i="1" s="1"/>
  <c r="L51" i="1"/>
  <c r="M51" i="1" s="1"/>
  <c r="K51" i="1"/>
  <c r="F51" i="1"/>
  <c r="K50" i="1"/>
  <c r="F50" i="1"/>
  <c r="L50" i="1" s="1"/>
  <c r="M50" i="1" s="1"/>
  <c r="L49" i="1"/>
  <c r="M49" i="1" s="1"/>
  <c r="K49" i="1"/>
  <c r="F49" i="1"/>
  <c r="K48" i="1"/>
  <c r="F48" i="1"/>
  <c r="L48" i="1" s="1"/>
  <c r="M48" i="1" s="1"/>
  <c r="L47" i="1"/>
  <c r="M47" i="1" s="1"/>
  <c r="K47" i="1"/>
  <c r="F47" i="1"/>
  <c r="K46" i="1"/>
  <c r="F46" i="1"/>
  <c r="L46" i="1" s="1"/>
  <c r="M46" i="1" s="1"/>
  <c r="L45" i="1"/>
  <c r="M45" i="1" s="1"/>
  <c r="K45" i="1"/>
  <c r="F45" i="1"/>
  <c r="K44" i="1"/>
  <c r="F44" i="1"/>
  <c r="L44" i="1" s="1"/>
  <c r="M44" i="1" s="1"/>
  <c r="L43" i="1"/>
  <c r="M43" i="1" s="1"/>
  <c r="K43" i="1"/>
  <c r="F43" i="1"/>
  <c r="K42" i="1"/>
  <c r="F42" i="1"/>
  <c r="L42" i="1" s="1"/>
  <c r="M42" i="1" s="1"/>
  <c r="L41" i="1"/>
  <c r="M41" i="1" s="1"/>
  <c r="K41" i="1"/>
  <c r="F41" i="1"/>
  <c r="K40" i="1"/>
  <c r="F40" i="1"/>
  <c r="L40" i="1" s="1"/>
  <c r="M40" i="1" s="1"/>
  <c r="L39" i="1"/>
  <c r="M39" i="1" s="1"/>
  <c r="K39" i="1"/>
  <c r="F39" i="1"/>
  <c r="K38" i="1"/>
  <c r="F38" i="1"/>
  <c r="L38" i="1" s="1"/>
  <c r="M38" i="1" s="1"/>
  <c r="L37" i="1"/>
  <c r="M37" i="1" s="1"/>
  <c r="K37" i="1"/>
  <c r="F37" i="1"/>
  <c r="K36" i="1"/>
  <c r="F36" i="1"/>
  <c r="L36" i="1" s="1"/>
  <c r="M36" i="1" s="1"/>
  <c r="L35" i="1"/>
  <c r="M35" i="1" s="1"/>
  <c r="K35" i="1"/>
  <c r="F35" i="1"/>
  <c r="K34" i="1"/>
  <c r="F34" i="1"/>
  <c r="L34" i="1" s="1"/>
  <c r="M34" i="1" s="1"/>
  <c r="L33" i="1"/>
  <c r="M33" i="1" s="1"/>
  <c r="K33" i="1"/>
  <c r="F33" i="1"/>
  <c r="K32" i="1"/>
  <c r="F32" i="1"/>
  <c r="L32" i="1" s="1"/>
  <c r="M32" i="1" s="1"/>
  <c r="L31" i="1"/>
  <c r="M31" i="1" s="1"/>
  <c r="K31" i="1"/>
  <c r="F31" i="1"/>
  <c r="K30" i="1"/>
  <c r="F30" i="1"/>
  <c r="L30" i="1" s="1"/>
  <c r="M30" i="1" s="1"/>
  <c r="L29" i="1"/>
  <c r="M29" i="1" s="1"/>
  <c r="K29" i="1"/>
  <c r="F29" i="1"/>
  <c r="K28" i="1"/>
  <c r="F28" i="1"/>
  <c r="L28" i="1" s="1"/>
  <c r="M28" i="1" s="1"/>
  <c r="L27" i="1"/>
  <c r="M27" i="1" s="1"/>
  <c r="K27" i="1"/>
  <c r="F27" i="1"/>
  <c r="K26" i="1"/>
  <c r="F26" i="1"/>
  <c r="L26" i="1" s="1"/>
  <c r="M26" i="1" s="1"/>
  <c r="L25" i="1"/>
  <c r="M25" i="1" s="1"/>
  <c r="K25" i="1"/>
  <c r="F25" i="1"/>
  <c r="K24" i="1"/>
  <c r="F24" i="1"/>
  <c r="L24" i="1" s="1"/>
  <c r="M24" i="1" s="1"/>
  <c r="L23" i="1"/>
  <c r="M23" i="1" s="1"/>
  <c r="K23" i="1"/>
  <c r="F23" i="1"/>
  <c r="K22" i="1"/>
  <c r="F22" i="1"/>
  <c r="L22" i="1" s="1"/>
  <c r="M22" i="1" s="1"/>
  <c r="L21" i="1"/>
  <c r="M21" i="1" s="1"/>
  <c r="K21" i="1"/>
  <c r="F21" i="1"/>
  <c r="K20" i="1"/>
  <c r="F20" i="1"/>
  <c r="L20" i="1" s="1"/>
  <c r="M20" i="1" s="1"/>
  <c r="L19" i="1"/>
  <c r="M19" i="1" s="1"/>
  <c r="K19" i="1"/>
  <c r="F19" i="1"/>
  <c r="K18" i="1"/>
  <c r="F18" i="1"/>
  <c r="L18" i="1" s="1"/>
  <c r="M18" i="1" s="1"/>
  <c r="L17" i="1"/>
  <c r="M17" i="1" s="1"/>
  <c r="K17" i="1"/>
  <c r="F17" i="1"/>
  <c r="K16" i="1"/>
  <c r="F16" i="1"/>
  <c r="L16" i="1" s="1"/>
  <c r="M16" i="1" s="1"/>
  <c r="L15" i="1"/>
  <c r="M15" i="1" s="1"/>
  <c r="K15" i="1"/>
  <c r="F15" i="1"/>
  <c r="K14" i="1"/>
  <c r="F14" i="1"/>
  <c r="L14" i="1" s="1"/>
  <c r="M14" i="1" s="1"/>
  <c r="L13" i="1"/>
  <c r="M13" i="1" s="1"/>
  <c r="K13" i="1"/>
  <c r="F13" i="1"/>
  <c r="K12" i="1"/>
  <c r="F12" i="1"/>
  <c r="L12" i="1" s="1"/>
  <c r="M12" i="1" s="1"/>
  <c r="L11" i="1"/>
  <c r="M11" i="1" s="1"/>
  <c r="K11" i="1"/>
  <c r="F11" i="1"/>
  <c r="K10" i="1"/>
  <c r="F10" i="1"/>
  <c r="L10" i="1" s="1"/>
  <c r="M10" i="1" s="1"/>
  <c r="L9" i="1"/>
  <c r="M9" i="1" s="1"/>
  <c r="K9" i="1"/>
  <c r="F9" i="1"/>
  <c r="K8" i="1"/>
  <c r="F8" i="1"/>
  <c r="L8" i="1" s="1"/>
  <c r="M8" i="1" s="1"/>
  <c r="L7" i="1"/>
  <c r="M7" i="1" s="1"/>
  <c r="K7" i="1"/>
  <c r="F7" i="1"/>
  <c r="K6" i="1"/>
  <c r="F6" i="1"/>
  <c r="L6" i="1" s="1"/>
  <c r="M6" i="1" s="1"/>
  <c r="L5" i="1"/>
  <c r="M5" i="1" s="1"/>
  <c r="K5" i="1"/>
  <c r="F5" i="1"/>
  <c r="K4" i="1"/>
  <c r="F4" i="1"/>
  <c r="L4" i="1" s="1"/>
  <c r="M4" i="1" s="1"/>
  <c r="L3" i="1"/>
  <c r="M3" i="1" s="1"/>
  <c r="K3" i="1"/>
  <c r="F3" i="1"/>
  <c r="K2" i="1"/>
  <c r="F2" i="1"/>
  <c r="L2" i="1" s="1"/>
  <c r="M2" i="1" s="1"/>
  <c r="M103" i="1" l="1"/>
  <c r="M135" i="1"/>
  <c r="M71" i="1"/>
  <c r="M79" i="1"/>
  <c r="M111" i="1"/>
  <c r="M87" i="1"/>
  <c r="M119" i="1"/>
  <c r="M148" i="1"/>
  <c r="M164" i="1"/>
  <c r="M180" i="1"/>
  <c r="M196" i="1"/>
  <c r="M212" i="1"/>
  <c r="M228" i="1"/>
  <c r="M70" i="1"/>
  <c r="M78" i="1"/>
  <c r="M86" i="1"/>
  <c r="M94" i="1"/>
  <c r="M102" i="1"/>
  <c r="M110" i="1"/>
  <c r="M118" i="1"/>
  <c r="M126" i="1"/>
  <c r="M134" i="1"/>
  <c r="M142" i="1"/>
  <c r="M158" i="1"/>
  <c r="M174" i="1"/>
  <c r="M190" i="1"/>
  <c r="M206" i="1"/>
  <c r="M222" i="1"/>
  <c r="M232" i="1"/>
  <c r="M156" i="1"/>
  <c r="M172" i="1"/>
  <c r="M188" i="1"/>
  <c r="M204" i="1"/>
  <c r="M220" i="1"/>
  <c r="M233" i="1"/>
  <c r="M100" i="1"/>
  <c r="M116" i="1"/>
  <c r="M124" i="1"/>
  <c r="M140" i="1"/>
  <c r="M162" i="1"/>
  <c r="M178" i="1"/>
  <c r="M226" i="1"/>
  <c r="M66" i="1"/>
  <c r="M74" i="1"/>
  <c r="M82" i="1"/>
  <c r="M90" i="1"/>
  <c r="M98" i="1"/>
  <c r="M106" i="1"/>
  <c r="M114" i="1"/>
  <c r="M122" i="1"/>
  <c r="M130" i="1"/>
  <c r="M68" i="1"/>
  <c r="M76" i="1"/>
  <c r="M84" i="1"/>
  <c r="M92" i="1"/>
  <c r="M108" i="1"/>
  <c r="M132" i="1"/>
  <c r="M146" i="1"/>
  <c r="M194" i="1"/>
  <c r="M210" i="1"/>
  <c r="M234" i="1"/>
</calcChain>
</file>

<file path=xl/sharedStrings.xml><?xml version="1.0" encoding="utf-8"?>
<sst xmlns="http://schemas.openxmlformats.org/spreadsheetml/2006/main" count="1611" uniqueCount="810">
  <si>
    <t>NCM</t>
  </si>
  <si>
    <t>PRODUTO</t>
  </si>
  <si>
    <t>ST RJ</t>
  </si>
  <si>
    <t>AQUISIÇÃO</t>
  </si>
  <si>
    <t>ORIGEM</t>
  </si>
  <si>
    <t>ST INCLUSA (imposto)</t>
  </si>
  <si>
    <t>Origem Importada (4%)</t>
  </si>
  <si>
    <t>Origem Nacional (12%)</t>
  </si>
  <si>
    <t>Origem RJ (22%)</t>
  </si>
  <si>
    <t>CUSTO UNITÁRIO</t>
  </si>
  <si>
    <t>VLR ST INTERESTADUAL</t>
  </si>
  <si>
    <t>VLR ST INTERNA</t>
  </si>
  <si>
    <t>CUSTO FINAL</t>
  </si>
  <si>
    <t>tem reducao</t>
  </si>
  <si>
    <t>%</t>
  </si>
  <si>
    <t>8471.60.59</t>
  </si>
  <si>
    <t>Kit tecl e mouse</t>
  </si>
  <si>
    <t>C/ST</t>
  </si>
  <si>
    <t>INTERNA</t>
  </si>
  <si>
    <t>IMPORTADA</t>
  </si>
  <si>
    <t>8471.90.19</t>
  </si>
  <si>
    <t>Leitor de Cartão</t>
  </si>
  <si>
    <t>EXTERNA</t>
  </si>
  <si>
    <t>SIM</t>
  </si>
  <si>
    <t>8473.30.42</t>
  </si>
  <si>
    <t>Memoria</t>
  </si>
  <si>
    <t>NACIONAL</t>
  </si>
  <si>
    <t>8471.60.53</t>
  </si>
  <si>
    <t>Mouse</t>
  </si>
  <si>
    <t>8504.40.40</t>
  </si>
  <si>
    <t>Nobreak</t>
  </si>
  <si>
    <t>sim</t>
  </si>
  <si>
    <t>8528.52.00</t>
  </si>
  <si>
    <t>Monitor</t>
  </si>
  <si>
    <t>8473.30.90</t>
  </si>
  <si>
    <t>SSD</t>
  </si>
  <si>
    <t>8507.80.00</t>
  </si>
  <si>
    <t>Bateria</t>
  </si>
  <si>
    <t>8504.40.10</t>
  </si>
  <si>
    <t>8544.42.00</t>
  </si>
  <si>
    <t>Cabos (de força)</t>
  </si>
  <si>
    <t>8518.21.00</t>
  </si>
  <si>
    <t>Caixa de Som</t>
  </si>
  <si>
    <t>8523.51.10</t>
  </si>
  <si>
    <t>Cartão Memoria</t>
  </si>
  <si>
    <t>8443.99.23</t>
  </si>
  <si>
    <t>Cartuchos/ Toner</t>
  </si>
  <si>
    <t>8443.99.33</t>
  </si>
  <si>
    <t>8517.13.00</t>
  </si>
  <si>
    <t>Celular</t>
  </si>
  <si>
    <t>8536.30.90</t>
  </si>
  <si>
    <t xml:space="preserve">Filtro de linha </t>
  </si>
  <si>
    <t>8504.40.21</t>
  </si>
  <si>
    <t>Fonte Note/desk</t>
  </si>
  <si>
    <t>8504.40.90</t>
  </si>
  <si>
    <t>Fonte CFTV</t>
  </si>
  <si>
    <t>8504.32.11</t>
  </si>
  <si>
    <t xml:space="preserve">Autotransformador </t>
  </si>
  <si>
    <t>8504.31.99</t>
  </si>
  <si>
    <t>8471.70.10</t>
  </si>
  <si>
    <t>HD</t>
  </si>
  <si>
    <t>8518.30.00</t>
  </si>
  <si>
    <t>Headset</t>
  </si>
  <si>
    <t>8443.31.11</t>
  </si>
  <si>
    <t xml:space="preserve">Impressoras </t>
  </si>
  <si>
    <t>8443.31.14</t>
  </si>
  <si>
    <t>8518.10.90</t>
  </si>
  <si>
    <t>Microfones</t>
  </si>
  <si>
    <t>8517.62.54</t>
  </si>
  <si>
    <t>Mini Hub</t>
  </si>
  <si>
    <t>8517.62.77</t>
  </si>
  <si>
    <t>Access Point</t>
  </si>
  <si>
    <t>8536.xx</t>
  </si>
  <si>
    <t>Adaptadores/conectores</t>
  </si>
  <si>
    <t>8521.90.90</t>
  </si>
  <si>
    <t>Aparelho DVD</t>
  </si>
  <si>
    <t>8504.31.19</t>
  </si>
  <si>
    <t>8504.31.91</t>
  </si>
  <si>
    <t>8504.3 Demais NCM's do grupo</t>
  </si>
  <si>
    <t>8516.71.00</t>
  </si>
  <si>
    <t>Cafeteira</t>
  </si>
  <si>
    <t>8525.81.00</t>
  </si>
  <si>
    <t>Camera Digital</t>
  </si>
  <si>
    <t>8517.79.00</t>
  </si>
  <si>
    <t>Cisco</t>
  </si>
  <si>
    <t>8471.50.10</t>
  </si>
  <si>
    <t>Computador</t>
  </si>
  <si>
    <t>8517.62.94</t>
  </si>
  <si>
    <t>Conversor de Midia</t>
  </si>
  <si>
    <t>9032.89.11</t>
  </si>
  <si>
    <t>Estabilizador</t>
  </si>
  <si>
    <t>8473.30.11</t>
  </si>
  <si>
    <t>Gabinete</t>
  </si>
  <si>
    <t>8471.70.20</t>
  </si>
  <si>
    <t>Gravador DVD</t>
  </si>
  <si>
    <t>8443.32.99</t>
  </si>
  <si>
    <t>8443.32.33</t>
  </si>
  <si>
    <t>8471.90.12</t>
  </si>
  <si>
    <t>Leitor de cod.barras</t>
  </si>
  <si>
    <t>4202.92.00</t>
  </si>
  <si>
    <t>Mochila/mala/capa</t>
  </si>
  <si>
    <t>4202.99.00</t>
  </si>
  <si>
    <t>8471.30.19</t>
  </si>
  <si>
    <t>Notebook</t>
  </si>
  <si>
    <t>8473.30.41</t>
  </si>
  <si>
    <t>Placa Mãe</t>
  </si>
  <si>
    <t>8528.69.10</t>
  </si>
  <si>
    <t>Projetor</t>
  </si>
  <si>
    <t>8517.62.41</t>
  </si>
  <si>
    <t>Roteador</t>
  </si>
  <si>
    <t>8517.62.49</t>
  </si>
  <si>
    <t>8471.90.14</t>
  </si>
  <si>
    <t>Scanner</t>
  </si>
  <si>
    <t>8414.59.90</t>
  </si>
  <si>
    <t>Suporte p/ Notebook com USB e Ventilador</t>
  </si>
  <si>
    <t>8517.62.39</t>
  </si>
  <si>
    <t>Switch</t>
  </si>
  <si>
    <t>8471.30.12</t>
  </si>
  <si>
    <t>Tablet</t>
  </si>
  <si>
    <t>8471.60.52</t>
  </si>
  <si>
    <t>Teclado</t>
  </si>
  <si>
    <t>8517.18.30</t>
  </si>
  <si>
    <t>Telefone</t>
  </si>
  <si>
    <t>8517.11.00</t>
  </si>
  <si>
    <t>Telefone S/ Fio</t>
  </si>
  <si>
    <t>8528.72.00</t>
  </si>
  <si>
    <t>TV LCD/Plasma/outros</t>
  </si>
  <si>
    <t>8415.10.11</t>
  </si>
  <si>
    <t>Ar Condicionado</t>
  </si>
  <si>
    <t>4802.56.92</t>
  </si>
  <si>
    <t>PAPEL A4</t>
  </si>
  <si>
    <t>9405.29.00</t>
  </si>
  <si>
    <t>LUMINARIA</t>
  </si>
  <si>
    <t>8504.40.21-C</t>
  </si>
  <si>
    <t>S/ST</t>
  </si>
  <si>
    <t>2712.10.00</t>
  </si>
  <si>
    <t>VASELINA LIQUIDA 500ML</t>
  </si>
  <si>
    <t>2901.29.00</t>
  </si>
  <si>
    <t>LIMPA CONTATO SPRAY  210ML</t>
  </si>
  <si>
    <t>2905.12.20</t>
  </si>
  <si>
    <t>ALCOOL ISOPROPOLICO 1 LITRO</t>
  </si>
  <si>
    <t>2931.90.29</t>
  </si>
  <si>
    <t>PASTA TERMICA 500G IMPLASTEC</t>
  </si>
  <si>
    <t>3215.11.00</t>
  </si>
  <si>
    <t>GARRAFA DE TINTA 504 T504120AL PRETO EPSON</t>
  </si>
  <si>
    <t>3215.19.00</t>
  </si>
  <si>
    <t>GARRAFA DE TINTA 504 T504220 CIANO EPSON</t>
  </si>
  <si>
    <t>3402.90.39</t>
  </si>
  <si>
    <t>LIMPA TELA 120ML COM PANO MICROFIBRA</t>
  </si>
  <si>
    <t>3506.10.10</t>
  </si>
  <si>
    <t>COLA INSTANTÂNEA SUPER BONDER</t>
  </si>
  <si>
    <t>3506.10.90</t>
  </si>
  <si>
    <t>COLA BASTÃO 40G PRITT</t>
  </si>
  <si>
    <t>3701.20.10</t>
  </si>
  <si>
    <t>FILME FUJI P/ CAMERA INSTAX MINI 10 POSES BRANCO</t>
  </si>
  <si>
    <t>3703.10.10</t>
  </si>
  <si>
    <t>MINI STUDIO BOX CABINE FOTOGRAFICA</t>
  </si>
  <si>
    <t>3824.99.41</t>
  </si>
  <si>
    <t>LIMPA CONTATO SPRAY 350ML</t>
  </si>
  <si>
    <t>3827.11.90</t>
  </si>
  <si>
    <t>LIMPA CONTATO SPRAY 250ML</t>
  </si>
  <si>
    <t>3903.30.20</t>
  </si>
  <si>
    <t>SUPORTE HEADSET PARA MONITOR C/FITA DUPLA FACE</t>
  </si>
  <si>
    <t>3909.50.29</t>
  </si>
  <si>
    <t>CAPA PARA CELULAR  SILICONE TRANSPARENTE</t>
  </si>
  <si>
    <t>3919.10.90</t>
  </si>
  <si>
    <t>CARTUCHO/ROLO DE ETIQUETA M21-750-499  BLACK ON WHITE BRADY</t>
  </si>
  <si>
    <t>3919.90.90</t>
  </si>
  <si>
    <t>PELICULA DE HYDROGEL PARA CELULAR</t>
  </si>
  <si>
    <t>3920.10.99</t>
  </si>
  <si>
    <t>PLASTICO BOLHA 1,30 X 100 MTS</t>
  </si>
  <si>
    <t>3920.20.19</t>
  </si>
  <si>
    <t>LAÇO MÁGICO G</t>
  </si>
  <si>
    <t>3920.20.90</t>
  </si>
  <si>
    <t>CAPA PARA ENCADERNAÇÃO PP A4 COM 50 UND CRISTAL</t>
  </si>
  <si>
    <t>3920.30.00</t>
  </si>
  <si>
    <t>DISPLAY DE MESA L  A6 10 X 15CM ACRILICO TRANSPARENTE</t>
  </si>
  <si>
    <t>3920.99.10</t>
  </si>
  <si>
    <t>PELICULA DE VIDRO 3D PARA CELULAR</t>
  </si>
  <si>
    <t>3921.90.90</t>
  </si>
  <si>
    <t>CAPA PROTETORA PARA IPAD  10.2" ANTI-SHOCK SURVIVOR</t>
  </si>
  <si>
    <t>3923.10.90</t>
  </si>
  <si>
    <t>CAIXA ARQUIVO MORTO OFICIO</t>
  </si>
  <si>
    <t>3923.21.10</t>
  </si>
  <si>
    <t>ENVELOPE DE SEGURANÇA PARA CORREIOS 12 X 18</t>
  </si>
  <si>
    <t>3924.90.00</t>
  </si>
  <si>
    <t>CAIXA PLASTICA ORGANIZADORA 16L RATTAN</t>
  </si>
  <si>
    <t>3926.90.90</t>
  </si>
  <si>
    <t>ABRAÇADEIRA EM NYLON PARA IDENTIFICAÇÃO COM 100 UN</t>
  </si>
  <si>
    <t>4005.91.90</t>
  </si>
  <si>
    <t>FITA ISOLANTE AUTOFUSAO 19MM X 10MM PRETO 3M</t>
  </si>
  <si>
    <t>4015.19.00</t>
  </si>
  <si>
    <t>LUVA NITRÍLICA DESCARTAVEL DA90200 AZUL COM 100 UND DANNY</t>
  </si>
  <si>
    <t>4016.10.90</t>
  </si>
  <si>
    <t>APOIO DE PUNHO PARA TECLADO CONFORT PRETO RELIZA</t>
  </si>
  <si>
    <t>4202.12.10</t>
  </si>
  <si>
    <t>4202.12.20</t>
  </si>
  <si>
    <t>4202.32.00</t>
  </si>
  <si>
    <t>4202.39.00</t>
  </si>
  <si>
    <t>CAPA PARA TABLET  PRETA</t>
  </si>
  <si>
    <t>4802.55.99</t>
  </si>
  <si>
    <t>FUNDO INFINITO 2,70 X 11MTS BRANCO</t>
  </si>
  <si>
    <t>PAPEL FILICOAT 210 X 297 180G FILIPAPER</t>
  </si>
  <si>
    <t>4808.10.00</t>
  </si>
  <si>
    <t>CAIXA DE PAPELÃO 60X40X40</t>
  </si>
  <si>
    <t>4819.10.00</t>
  </si>
  <si>
    <t>CAIXA DE PAPELÃO N11 18 X 11 X 6</t>
  </si>
  <si>
    <t>4821.10.00</t>
  </si>
  <si>
    <t>ETIQUETA ADESIVA PARA CODIFICAÇÃO 19MM</t>
  </si>
  <si>
    <t>4911.10.10</t>
  </si>
  <si>
    <t>APPLECARE + 1 ANO SVCS PARA IPAD</t>
  </si>
  <si>
    <t>4911.99.00</t>
  </si>
  <si>
    <t>MICROSOFT OFFICE PROFESSIONAL PLUS 2021ESD BR</t>
  </si>
  <si>
    <t>5603.92.40</t>
  </si>
  <si>
    <t>PANO MULTI-USO 30X25 COM 50UND AZUL</t>
  </si>
  <si>
    <t>5806.32.00</t>
  </si>
  <si>
    <t>ABRAÇADEIRA EM VELCRO  ROLO 3MTS PRETO</t>
  </si>
  <si>
    <t>5807.10.00</t>
  </si>
  <si>
    <t>PAINEL REFLETOR 5X1 COM BOLSA WV-51110/DI</t>
  </si>
  <si>
    <t>6302.91.00</t>
  </si>
  <si>
    <t>PANO DE CHÃO ALVEJADO BRANCO</t>
  </si>
  <si>
    <t>6307.10.00</t>
  </si>
  <si>
    <t>PANO MICROFIBRA COM 2 UND</t>
  </si>
  <si>
    <t>6601.10.00</t>
  </si>
  <si>
    <t>OMBRELONE CAUCAIA</t>
  </si>
  <si>
    <t>6603.90.00</t>
  </si>
  <si>
    <t>7020.00.90</t>
  </si>
  <si>
    <t>7323.94.00</t>
  </si>
  <si>
    <t>SUPORTE MAGNÉTICO PARA IPAD HAGIBIS</t>
  </si>
  <si>
    <t>7326.90.90</t>
  </si>
  <si>
    <t>SUPORTE  ARTICULADO ANTIFURTO PARA TABLET / IPAD 7.9 -10.5"</t>
  </si>
  <si>
    <t>7616.99.00</t>
  </si>
  <si>
    <t>SUPORTE DE MESA PARA MONITOR MULTIARTICULADO COM PISTÃO A GÁS DE 17-35" ELG</t>
  </si>
  <si>
    <t>8001.10.00</t>
  </si>
  <si>
    <t>DOCK STATION 2.5/3,5" USB 3.0 KNUP</t>
  </si>
  <si>
    <t>8001.20.00</t>
  </si>
  <si>
    <t>MONITOR PORTATIL ULTRA SLLIN TOMATE</t>
  </si>
  <si>
    <t>8203.20.10</t>
  </si>
  <si>
    <t>Alicate de Crimpar RJ11 / RJ45</t>
  </si>
  <si>
    <t>8205.51.00</t>
  </si>
  <si>
    <t>KIT FERRAMENTAS PARA NOTEBOOK E CELULAR 23 PÇ</t>
  </si>
  <si>
    <t>8206.00.00</t>
  </si>
  <si>
    <t>KIT DE CHAVES DE PRECISÃO</t>
  </si>
  <si>
    <t>8207.90.00</t>
  </si>
  <si>
    <t>MALETA DE BROCAS / PONTEIRAS 100 PÇS BOSCH</t>
  </si>
  <si>
    <t>8301.10.00</t>
  </si>
  <si>
    <t>CABO DE SEGURANÇA PARA NOTE COM CHAVE CS-30 C3T</t>
  </si>
  <si>
    <t>8302.50.00</t>
  </si>
  <si>
    <t>SUPORTE PARA NOTEBOOK ERGONOMICO G4 PRETO MUTABIS</t>
  </si>
  <si>
    <t>8304.00.00</t>
  </si>
  <si>
    <t>APLICADOR DE FITA LACRE</t>
  </si>
  <si>
    <t>8415.90.10</t>
  </si>
  <si>
    <t>UNIDADE EVAPORADORA SPLIT CASSETE INVERTER 3200BTUS QUENTE/FRIO 220V FUJITSU</t>
  </si>
  <si>
    <t>8415.90.20</t>
  </si>
  <si>
    <t>UNIDADE CONDENSADORA SPLIT CASSETE INVERTER 3200BTUS QUENTE/FRIO 220V FUJITSU</t>
  </si>
  <si>
    <t>8415.90.90</t>
  </si>
  <si>
    <t>PAINEL SPLIT CASSETE INVERTER 3200BTUS QUENTE/FRIO 220V FUJITSU</t>
  </si>
  <si>
    <t>8418.21.00</t>
  </si>
  <si>
    <t>FRIGOBAR 76L 127V BRANCO PHILCO</t>
  </si>
  <si>
    <t>8419.89.19</t>
  </si>
  <si>
    <t>CAFETEIRA INDUSTRIAL 10LTS / 220v</t>
  </si>
  <si>
    <t>8420.10.10</t>
  </si>
  <si>
    <t>PLASTIFICADORA A3 VISION G15 APP-TECH</t>
  </si>
  <si>
    <t>8420.10.90</t>
  </si>
  <si>
    <t>PLASTIFICADORA A3/A4 E A5  LM3233H AURORA</t>
  </si>
  <si>
    <t>8423.90.29</t>
  </si>
  <si>
    <t>CAFETEIRA INDUSTRIAL  8 LITROS/ 220V</t>
  </si>
  <si>
    <t>8441.80.00</t>
  </si>
  <si>
    <t>PERFURADORA PARA ENCADERNAÇÃO A4 SPIRAMATIC LASSANE</t>
  </si>
  <si>
    <t>8443.99.50</t>
  </si>
  <si>
    <t>IMPRESSORA INSTAX MINI LINK 2 CLAY WHITE NINTENDO</t>
  </si>
  <si>
    <t>NOTEBOOK I7 15.6" GALAXY BOOK2 PRO SAMSUNG</t>
  </si>
  <si>
    <t>PIPO</t>
  </si>
  <si>
    <t>CAPA PARA IPAD SLIM FOLIO LOGITECH</t>
  </si>
  <si>
    <t>APPLE PENCIL</t>
  </si>
  <si>
    <t>8471.60.90</t>
  </si>
  <si>
    <t>LEITOR DE CODIGO DE BARRAS 1D LB-W200BK C3TECH</t>
  </si>
  <si>
    <t>8471.80.00</t>
  </si>
  <si>
    <t>AUTENTICADOR FISCAL - MFE TM-1000 TANCA</t>
  </si>
  <si>
    <t>8471.90.90</t>
  </si>
  <si>
    <t>HD IRONWOLF NAS 8TB  SEAGATE</t>
  </si>
  <si>
    <t>8472.90.99</t>
  </si>
  <si>
    <t>ROTULADOR ELETRONICO PT-M95  BROTHER</t>
  </si>
  <si>
    <t>GABINETE MT-32BK C3TECH</t>
  </si>
  <si>
    <t>8473.30.39</t>
  </si>
  <si>
    <t>CASE EXTERNA PARA SSD</t>
  </si>
  <si>
    <t>8473.30.49</t>
  </si>
  <si>
    <t>PLACA PCI EXPRESS COM 2 SAIDAS SERIAIS</t>
  </si>
  <si>
    <t>8473.50.90</t>
  </si>
  <si>
    <t>CANETA TOUCH SCREEN PARA TABLET</t>
  </si>
  <si>
    <t>8479.89.99</t>
  </si>
  <si>
    <t>APLICADOR DE TAG</t>
  </si>
  <si>
    <t>ADAPTADOR /CARREGADOR EXTERNO DE CORRENTE ALTERNADA PINO 4,5MM 65W DELL</t>
  </si>
  <si>
    <t>CARREGADOR PARA CELULAR / TABLET EP-TA50BW SAMSUNG</t>
  </si>
  <si>
    <t>8504.40.29</t>
  </si>
  <si>
    <t>PN:PWR-BGA12V50W0WW-FONTE LEVEL VI AC/DC BRICK .   PWR</t>
  </si>
  <si>
    <t>FONTE DE ALIMENTAÇÃO 24V  BIV PLUG P4</t>
  </si>
  <si>
    <t>8506.10.19</t>
  </si>
  <si>
    <t>BATERIA LR44/A76 COM 4 UND DURACEL</t>
  </si>
  <si>
    <t>8506.10.31</t>
  </si>
  <si>
    <t>BATERIA 9V DURACEL</t>
  </si>
  <si>
    <t>8506.50.10</t>
  </si>
  <si>
    <t>BATERIA CR2032 INTELBRAS</t>
  </si>
  <si>
    <t>8507.20.10</t>
  </si>
  <si>
    <t>BATERIA 12V/ 100AH UNIPOWER</t>
  </si>
  <si>
    <t>8507.50.10</t>
  </si>
  <si>
    <t>PACK DE PILHAS RECARREGÁVEL 2UN AA  DURACELL</t>
  </si>
  <si>
    <t>8507.50.20</t>
  </si>
  <si>
    <t>PACK DE PILHAS RECARREGÁVEL 2UN AAA  DURACELL</t>
  </si>
  <si>
    <t>8507.60.00</t>
  </si>
  <si>
    <t>BAT NOT DELL LATITUDE 5520 RJ4 Nr Serie: 2278345 /</t>
  </si>
  <si>
    <t>8508.11.00</t>
  </si>
  <si>
    <t>ASPIRADOR E JATEADOR DE AR 110V MASTERSUX</t>
  </si>
  <si>
    <t>8514.20.20</t>
  </si>
  <si>
    <t>MICRO-ONDAS  22LT 220V INOX PANASONIC</t>
  </si>
  <si>
    <t>8517.62.59</t>
  </si>
  <si>
    <t>98600SR1000000 Innex Connect</t>
  </si>
  <si>
    <t>8517.62.62</t>
  </si>
  <si>
    <t>OCULOS REALIDADE VIRTUAL QUEST 3</t>
  </si>
  <si>
    <t>8517.62.99</t>
  </si>
  <si>
    <t>CABO CONVERSOR VGA+R/L X HDMI</t>
  </si>
  <si>
    <t>8517.69.00</t>
  </si>
  <si>
    <t>Adaptador USB p/ Headset</t>
  </si>
  <si>
    <t>8518.10.10</t>
  </si>
  <si>
    <t>SUPORTE DE CHÃO PARA PROJETOR E LAPTOP TRIPÉ AJUSTAVEL</t>
  </si>
  <si>
    <t>MICROFONE DE MESA USB PARA CONFERÊNCIA USB BXXQ52374 CM-001 CMTECK</t>
  </si>
  <si>
    <t>FONE DE OUVIDO BLUETOOTH W600BT EDIFIER</t>
  </si>
  <si>
    <t>8518.50.00</t>
  </si>
  <si>
    <t>CROSSOVER C-04  4 VIAS STEREO PROFISSIONAL</t>
  </si>
  <si>
    <t>8518.90.90</t>
  </si>
  <si>
    <t>ADAPTADOR CARONA PARA TREINAMENTO HEADSET</t>
  </si>
  <si>
    <t>8521.90.00</t>
  </si>
  <si>
    <t>GRAVADOR DIGITAL DE VIDEO IMHDX 3008 INTELBRAS</t>
  </si>
  <si>
    <t>8523.29.90</t>
  </si>
  <si>
    <t>FITA LTO</t>
  </si>
  <si>
    <t>8523.41.10</t>
  </si>
  <si>
    <t>MIDIA DVD-R</t>
  </si>
  <si>
    <t>8523.49.20</t>
  </si>
  <si>
    <t>LICENÇA OFFICE MICROSOFT</t>
  </si>
  <si>
    <t>8523.49.90</t>
  </si>
  <si>
    <t>JOGO PARA PS5 FI 23</t>
  </si>
  <si>
    <t>PEN DRIVE 3.2 256GB DTX/256GB  KINGSTON</t>
  </si>
  <si>
    <t>8523.51.90</t>
  </si>
  <si>
    <t>PEN DRIVE  2.0 64GB CRUZER BLADE SDCZ50-064G-B35 SANDISK</t>
  </si>
  <si>
    <t>8523.52.10</t>
  </si>
  <si>
    <t>CARTÃO ACIONADO POR APROXIMAÇÃO TH2000</t>
  </si>
  <si>
    <t>8524.11.00</t>
  </si>
  <si>
    <t>TELA LCD PARA NOTEBOOK 14.0 1920X1080 30P NARROW</t>
  </si>
  <si>
    <t>8525.50.29</t>
  </si>
  <si>
    <t>GOOGLE CHROMECAST TV GAO3131-US</t>
  </si>
  <si>
    <t>8525.60.90</t>
  </si>
  <si>
    <t>APPLE TV 4K 128GB MN893BZ/A</t>
  </si>
  <si>
    <t>8525.89.13</t>
  </si>
  <si>
    <t>CÂMERA DE MONITORAMENTO BULLET  VIP 1230B  INTELBRAS</t>
  </si>
  <si>
    <t>8525.89.19</t>
  </si>
  <si>
    <t>VIDEO CONFERENCIA USB CAM-1080P INTELBRAS</t>
  </si>
  <si>
    <t>8525.89.29</t>
  </si>
  <si>
    <t>Caixa de Som Bose Modelo FS2C</t>
  </si>
  <si>
    <t>8526.92.00</t>
  </si>
  <si>
    <t>CONTROLE REMOTO</t>
  </si>
  <si>
    <t>8528.59.00</t>
  </si>
  <si>
    <t>CONTROLE TOUCH TAP VC SCHEDULER  LOGITECH</t>
  </si>
  <si>
    <t>8529.10.20</t>
  </si>
  <si>
    <t>ALICATE DE CRIMPAR MULTI FUNÇÃO PARA CONECTORES DE PASSAGEM EZ TOOLS</t>
  </si>
  <si>
    <t>8535.30.19</t>
  </si>
  <si>
    <t>TOMADA PADRÃO REINO UNIDO PLUG MACHO</t>
  </si>
  <si>
    <t>8536.41.00</t>
  </si>
  <si>
    <t>RELE FOTOELETRONICO</t>
  </si>
  <si>
    <t>8536.50.90</t>
  </si>
  <si>
    <t>Conversor AV para HDMI</t>
  </si>
  <si>
    <t>8536.69.90</t>
  </si>
  <si>
    <t>ADAPTADOR DE TOMADA</t>
  </si>
  <si>
    <t>8536.90.10</t>
  </si>
  <si>
    <t>ADAPTADOR DB9 NULL MODEN</t>
  </si>
  <si>
    <t>8536.90.90</t>
  </si>
  <si>
    <t>ADAPTADOR  SERIAL RS232 X RS485</t>
  </si>
  <si>
    <t>8539.10.90</t>
  </si>
  <si>
    <t>LAMPADA PARA PROJETOR PRO Z8050 EPSON</t>
  </si>
  <si>
    <t>8541.29.20</t>
  </si>
  <si>
    <t>CONTROLE REMOTO PARA SMART TV</t>
  </si>
  <si>
    <t>8542.31.90</t>
  </si>
  <si>
    <t>CIRCUITO INTEGRADO ELETRONICO DE AMPLIFICADOR DE POTENCIA</t>
  </si>
  <si>
    <t>8543.70.19</t>
  </si>
  <si>
    <t>AMPLIFICADOR  SLIM 1800 APP FRAHM</t>
  </si>
  <si>
    <t>8543.70.35</t>
  </si>
  <si>
    <t>MESA DE SOM DJ M2 MIXER 2 CANAIS NUMARK</t>
  </si>
  <si>
    <t>8543.70.39</t>
  </si>
  <si>
    <t>8543.70.40</t>
  </si>
  <si>
    <t>Chaveador KVM VGA 2 Portas com Cabo</t>
  </si>
  <si>
    <t>8543.70.99</t>
  </si>
  <si>
    <t>8544.20.00</t>
  </si>
  <si>
    <t>ADAPTADOR DE AUDIO USB X P2 3.5MM UGREEN</t>
  </si>
  <si>
    <t>8544.49.00</t>
  </si>
  <si>
    <t>Cabo audio 3 vias blindado 0.12mm preto MF3 Santo Angelo</t>
  </si>
  <si>
    <t>8549.11.00</t>
  </si>
  <si>
    <t>BATERIA 14250 3,6V 1200MAH LITHIUM</t>
  </si>
  <si>
    <t>8806.22.00</t>
  </si>
  <si>
    <t>DRONE MINI 3 PRO FLY MORE KIT PLUS DJI</t>
  </si>
  <si>
    <t>8806.22.00.01</t>
  </si>
  <si>
    <t>DRONE MINI 2 SE FLY MORE DJI</t>
  </si>
  <si>
    <t>9001.90.90</t>
  </si>
  <si>
    <t>FILTRO DE PRIVACIDADE 22"</t>
  </si>
  <si>
    <t>9002.11.11</t>
  </si>
  <si>
    <t>LENTE PARA CÂMERA RF 24X105MM F4-7.1 IS STM CANON</t>
  </si>
  <si>
    <t>9002.20.90</t>
  </si>
  <si>
    <t>FILTRO UV HMC 52MM HOYA</t>
  </si>
  <si>
    <t>9006.69.00</t>
  </si>
  <si>
    <t>MINI ILUMINADOR LED MOLUS G60 COMBO ZHIYUN</t>
  </si>
  <si>
    <t>9006.91.90</t>
  </si>
  <si>
    <t>CAIXA ESTANQUE PARA GOPRO TELESIN</t>
  </si>
  <si>
    <t>9015.10.00</t>
  </si>
  <si>
    <t>MEDIDOR DE DISTÂNCIAS LASER GLM 50-12 BOSCH</t>
  </si>
  <si>
    <t>9025.80.00</t>
  </si>
  <si>
    <t>DATA LOGGER DE TEMPERATURA E UMIDADE TESTO 175 HI + CALIBRAÇÃO</t>
  </si>
  <si>
    <t>9027.50.90</t>
  </si>
  <si>
    <t>DETECTOR DE FUMAÇA CONVENCIONAL UNIVERSAL DFC 421 UN INTELBRAS</t>
  </si>
  <si>
    <t>9030.40.90</t>
  </si>
  <si>
    <t>KIT TESTADOR E LOCALIZADOR DE CABOS</t>
  </si>
  <si>
    <t>9030.89.90</t>
  </si>
  <si>
    <t>KIT TESTADOR E ACESÓRIOS VONDER</t>
  </si>
  <si>
    <t>9113.10.00</t>
  </si>
  <si>
    <t>CAPA SMARTCASE PARA IPAD 10º GER 10.9" PRETA</t>
  </si>
  <si>
    <t>9113.90.00</t>
  </si>
  <si>
    <t>CAPAPARA CELULAR S25/S24 ANTI-IMPACTO PRETA</t>
  </si>
  <si>
    <t>9209.94.00</t>
  </si>
  <si>
    <t>PEDESTAL GIRAFA PARA MICROFONE  SMG10</t>
  </si>
  <si>
    <t>9401.79.00</t>
  </si>
  <si>
    <t>CADEIRA EASY WOOD</t>
  </si>
  <si>
    <t>9403.10.00</t>
  </si>
  <si>
    <t>MESA SUPORTE PARA NOTEBOOK LUXO ERGONOMICA VEXTABLE</t>
  </si>
  <si>
    <t>9403.20.90</t>
  </si>
  <si>
    <t>BANDEJA DESLIZANTE 1U X 400MM PRETO</t>
  </si>
  <si>
    <t>9403.30.00</t>
  </si>
  <si>
    <t>APOIO PARA OS PÉS 15KG MULTIVISÃO</t>
  </si>
  <si>
    <t>9403.70.00</t>
  </si>
  <si>
    <t>ESTRADO PVC 50X50</t>
  </si>
  <si>
    <t>9403.99.00</t>
  </si>
  <si>
    <t>BANDEJA FIXA 400MM</t>
  </si>
  <si>
    <t>9405.11.10</t>
  </si>
  <si>
    <t>KIT TECLADO E MOUSE SEM FIO LEY-171 BRANCO LEHMOX</t>
  </si>
  <si>
    <t>9603.90.00</t>
  </si>
  <si>
    <t>ESCOVINHA PARA LIMPEZA EM AÇO INOXIDAVEL</t>
  </si>
  <si>
    <t>9608.20.00</t>
  </si>
  <si>
    <t>9610.00.00</t>
  </si>
  <si>
    <t>LOUSA DE VIDRO 2,20 X 1</t>
  </si>
  <si>
    <t>9612.10.00</t>
  </si>
  <si>
    <t>FITA PARA ROTULADOR 12MM X 9MM LK-4TBN PRETO/ TRANSPARENTE EPSON</t>
  </si>
  <si>
    <t>9617.00.10</t>
  </si>
  <si>
    <t>GARRAFA TERMICA 2,5LT INOX / PRETO</t>
  </si>
  <si>
    <t>9620.00.00</t>
  </si>
  <si>
    <t>SUPORTE PARA LEITOR DE COD DE BARRAS - BASE PARA FIXAÇÃO</t>
  </si>
  <si>
    <t>3705.90.10</t>
  </si>
  <si>
    <t>Fotomáscaras sobre vidro plano, positivas, próprias para gravação em pastilhas de silício (chips), para fabricação de microestruturas eletrônicas</t>
  </si>
  <si>
    <t>6909.12.20</t>
  </si>
  <si>
    <t>Exclusivamente guia de agulhas de cerâmica para cabeçotes de impressão</t>
  </si>
  <si>
    <t>6909.19.20</t>
  </si>
  <si>
    <t>7104.90.00</t>
  </si>
  <si>
    <t>Exclusivamente guia de rubi para cabeçotes de impressão</t>
  </si>
  <si>
    <t>8409.91.40</t>
  </si>
  <si>
    <t>Injeção eletrônica</t>
  </si>
  <si>
    <t>8409.99.90</t>
  </si>
  <si>
    <t>Exclusivamente partes e acessórios, equipamento de injeção eletrônica digital de combustível para veículos automotores</t>
  </si>
  <si>
    <t>8470.50.1</t>
  </si>
  <si>
    <t>Caixas registradoras eletrônicas</t>
  </si>
  <si>
    <t>8470.90.90</t>
  </si>
  <si>
    <t>Exclusivamente terminal de ponto de venda</t>
  </si>
  <si>
    <t>Exclusivamente terminal financeiro</t>
  </si>
  <si>
    <t>8471.10.00</t>
  </si>
  <si>
    <t>Máquinas automáticas para processamento de dados, analógicas ou híbridas</t>
  </si>
  <si>
    <t>8471.41</t>
  </si>
  <si>
    <t>Máquinas automáticas digitais para processamento de dados, contendo, no mesmo corpo, pelo menos uma unidade central de processamento e, mesmo combinadas, uma unidade de entrada e uma unidade de saída</t>
  </si>
  <si>
    <t>8471.50</t>
  </si>
  <si>
    <t>Unidades digitais de processamento, mesmo apresentadas com o restante de um sistema e podendo conter, no mesmo corpo, um ou dois dos tipos de unidades seguintes: de memória, de entrada e de saída com elemento aritméticos e lógicos baseados em microprocessadores</t>
  </si>
  <si>
    <t>8471.50.90</t>
  </si>
  <si>
    <t>Outras unidades digitais de processamento</t>
  </si>
  <si>
    <t>8471.60.1</t>
  </si>
  <si>
    <t>Impressoras</t>
  </si>
  <si>
    <t>8471.60.2</t>
  </si>
  <si>
    <t>8471.60.30</t>
  </si>
  <si>
    <t>8471.60.4</t>
  </si>
  <si>
    <t>Plotadoras ou registradora de curvas</t>
  </si>
  <si>
    <t>8471.60.51</t>
  </si>
  <si>
    <t>Exclusivamente digitalizadores de imagens (scanners)</t>
  </si>
  <si>
    <t>8471.60.54</t>
  </si>
  <si>
    <t>Mesa digitalizadora</t>
  </si>
  <si>
    <t>8471.60.6</t>
  </si>
  <si>
    <t>Terminais de vídeo</t>
  </si>
  <si>
    <t>8471.60.99</t>
  </si>
  <si>
    <t>Exclusivamente unidade terminal remota -UTR</t>
  </si>
  <si>
    <t>8471.60.7</t>
  </si>
  <si>
    <t>Exclusivamente monitor de vídeo</t>
  </si>
  <si>
    <t>8471.60.71</t>
  </si>
  <si>
    <t>Exclusivamente monitores de vídeo com tubo de raios catódicos</t>
  </si>
  <si>
    <t>nan</t>
  </si>
  <si>
    <t>Monocromático</t>
  </si>
  <si>
    <t>8471.60.72</t>
  </si>
  <si>
    <t>Policromático</t>
  </si>
  <si>
    <t>8471.60.74</t>
  </si>
  <si>
    <t>Exclusivamente Outros Monitores de Vídeo, Policromático</t>
  </si>
  <si>
    <t>8471.60.80</t>
  </si>
  <si>
    <t>Exclusivamente terminais de Auto Atendimento Bancário</t>
  </si>
  <si>
    <t>8471.70.11</t>
  </si>
  <si>
    <t>Unidade de Disco Magnético, tipo Flexível</t>
  </si>
  <si>
    <t>8471.70.19</t>
  </si>
  <si>
    <t>Qualquer Outra Unidade de Disco Magnético</t>
  </si>
  <si>
    <t>8471.70.2</t>
  </si>
  <si>
    <t>Unidade de Disco Óptico</t>
  </si>
  <si>
    <t>-Unidade de Disco Óptico, para Leitura</t>
  </si>
  <si>
    <t>-Unidade de Disco Óptico, para Gravação ou para Gravação e Leitura</t>
  </si>
  <si>
    <t>8471.70.31</t>
  </si>
  <si>
    <t>Unidade de Fita Magnética tipo Rolo</t>
  </si>
  <si>
    <t>8471.70.32</t>
  </si>
  <si>
    <t>Unidade de Fita Magnética tipo Cartucho</t>
  </si>
  <si>
    <t>8471.70.33</t>
  </si>
  <si>
    <t>Unidade de Fita Magnética tipo Cassete</t>
  </si>
  <si>
    <t>8471.70.39</t>
  </si>
  <si>
    <t>Qualquer outra Unidade de Fita Magnética</t>
  </si>
  <si>
    <t>8471.70.90</t>
  </si>
  <si>
    <t>Outras Unidades de Memória</t>
  </si>
  <si>
    <t>8471.80.11</t>
  </si>
  <si>
    <t>Exclusivamente controladora de terminais</t>
  </si>
  <si>
    <t>8471.80.12</t>
  </si>
  <si>
    <t>Unidade de controle de comunicação (front-end-processor)</t>
  </si>
  <si>
    <t>8471.80.13</t>
  </si>
  <si>
    <t>Exclusivamente tradutores conversores de protocolos de redes (gateway)</t>
  </si>
  <si>
    <t>8471.80.14</t>
  </si>
  <si>
    <t>Exclusivamente equipamento concentrador e distribuidor de conexões para rede de comunicação de dados tipo hub</t>
  </si>
  <si>
    <t>8471.80.19</t>
  </si>
  <si>
    <t>Controlador ou Formatador para Disco Magnético Flexível</t>
  </si>
  <si>
    <t>Controlador e/ou Formatador de Fita Magnética</t>
  </si>
  <si>
    <t>Controlador para Impressora</t>
  </si>
  <si>
    <t>Qualquer outro Controlador e/ou Formatador para Disco Magnético</t>
  </si>
  <si>
    <t>8471.90.11</t>
  </si>
  <si>
    <t>Leitoras ou Perfuradoras de Cartões</t>
  </si>
  <si>
    <t>8471.90.13</t>
  </si>
  <si>
    <t>Leitora e/ou marcadora de caracteres (CMC-7)</t>
  </si>
  <si>
    <t>8472.90.10</t>
  </si>
  <si>
    <t>Exclusivamente distribuidores (dispensadores) automáticos de papel-moeda, incluídos os que efetuam outras operações</t>
  </si>
  <si>
    <t>8472.90.30</t>
  </si>
  <si>
    <t>Máquinas de classificar e contar moedas metálicas</t>
  </si>
  <si>
    <t>Máquina de contar papel-moeda e semelhantes</t>
  </si>
  <si>
    <t>8472.90.51</t>
  </si>
  <si>
    <t>Exclusivamente classificadoras automáticas de documentos com leitores ou gravadores do item 8471.90.1 incorporados, com capacidade de classificação superior a 400 documentos por minuto</t>
  </si>
  <si>
    <t>8472.90.59</t>
  </si>
  <si>
    <t>Exclusivamente classificadoras automáticas de documentos com leitores ou gravadores do item 8471.90.1 incorporados, com capacidade de classificação igual ou inferior a 400 documentos por minuto</t>
  </si>
  <si>
    <t>8472.90.90</t>
  </si>
  <si>
    <t>Máquina para preencher cheque</t>
  </si>
  <si>
    <t>Máquina para assinar cheque</t>
  </si>
  <si>
    <t>Exclusivamente Máquina Automática Pagadora</t>
  </si>
  <si>
    <t>8473.29.10</t>
  </si>
  <si>
    <t>Exclusivamente partes e acessórios das Caixas Registradoras Elétricas</t>
  </si>
  <si>
    <t>8473.29.90</t>
  </si>
  <si>
    <t>8473.30.19</t>
  </si>
  <si>
    <t>8473.30.21</t>
  </si>
  <si>
    <t>Mecanismo de impressão serial</t>
  </si>
  <si>
    <t>Exclusivamente mecanismo completo de impressoras matriciais (por pontos) ou de impressoras ou traçadores gráficos (plotters), a jato de tinta, montados</t>
  </si>
  <si>
    <t>8473.30.22</t>
  </si>
  <si>
    <t>Exclusivamente mecanismo completo de impressoras a laser, LED (diodos emissores de luz) ou LCS (sistema de cristal líquido), montados</t>
  </si>
  <si>
    <t>8473.30.23</t>
  </si>
  <si>
    <t>Banco de martelos para impressão de linha</t>
  </si>
  <si>
    <t>Cabeçote ou martelo de impressão</t>
  </si>
  <si>
    <t>8473.30.24</t>
  </si>
  <si>
    <t>8473.30.25</t>
  </si>
  <si>
    <t>8473.30.26</t>
  </si>
  <si>
    <t>Exclusivamente cinta de caracteres para impressoras de impacto</t>
  </si>
  <si>
    <t>8473.30.27</t>
  </si>
  <si>
    <t>Cartucho de tinta</t>
  </si>
  <si>
    <t>(Linha acrescentada pelo Decreto nº 27.844 , de 14.02.2001, DOE RJ de 15.02.2001).</t>
  </si>
  <si>
    <t>8473.30.29</t>
  </si>
  <si>
    <t>Mecanismo de impressão para impressora sem impacto</t>
  </si>
  <si>
    <t>Exclusivamente tracionador de papel</t>
  </si>
  <si>
    <t>Exclusivamente chassi de unidade de disco magnético</t>
  </si>
  <si>
    <t>8473.30.31</t>
  </si>
  <si>
    <t>Exclusivamente conjunto HDA montado com capacidade superior a 1.200 MB</t>
  </si>
  <si>
    <t>8473.30.32</t>
  </si>
  <si>
    <t>Posicionador de Cabeças Magnéticas</t>
  </si>
  <si>
    <t>8473.30.33</t>
  </si>
  <si>
    <t>Cabeça de Leitura e/ou Gravação Magnética</t>
  </si>
  <si>
    <t>8473.30.34</t>
  </si>
  <si>
    <t>Transportador (driver) de fita magnética</t>
  </si>
  <si>
    <t>8473.30.4</t>
  </si>
  <si>
    <t>Exclusivamente placas de circuito impresso montadas com componentes elétricos e/ou eletrônico</t>
  </si>
  <si>
    <t>8473.30.91</t>
  </si>
  <si>
    <t>Exclusivamente Visor (Display) de Cristal Líquido Superior a 10 Dígitos</t>
  </si>
  <si>
    <t>8473.30.92</t>
  </si>
  <si>
    <t>8473.30.99</t>
  </si>
  <si>
    <t>Exclusivamente cabeça leitora óptica</t>
  </si>
  <si>
    <t>Canal de Acesso Direto a Memória</t>
  </si>
  <si>
    <t>Posicionador de Cabeças Ópticas</t>
  </si>
  <si>
    <t>8473.40.70</t>
  </si>
  <si>
    <t>Mecanismo Disparador de Cédulas/Documentos</t>
  </si>
  <si>
    <t>8479.50.00</t>
  </si>
  <si>
    <t>Exclusivamente Robô Industrial</t>
  </si>
  <si>
    <t>8482.40.00</t>
  </si>
  <si>
    <t>Exclusivamente Micro Rolamentos de Agulhas com sentido único de Rotação</t>
  </si>
  <si>
    <t>8501.10.11</t>
  </si>
  <si>
    <t>Motor de passo com posicionamento angular menor ou igual a 1,8 graus</t>
  </si>
  <si>
    <t>8501.10.19</t>
  </si>
  <si>
    <t>Motor de Corrente Contínua com Escovas, com Imã Permanente, Sensor de Velocidade e Precisão de Giro de até 1%</t>
  </si>
  <si>
    <t>Motor de Corrente Contínua de 24V com Duplo Eixo</t>
  </si>
  <si>
    <t>Motor de Passo</t>
  </si>
  <si>
    <t>Motores de Corrente Contínua, pesando até 10 (dez) kg, sem Escova e com Imã Permanente</t>
  </si>
  <si>
    <t>Motor de Imã Permanente, de Corrente Contínua, tensão de funcionamento 8,5V, 17.000 RPM e 0,39 A</t>
  </si>
  <si>
    <t>Motor de Corrente Contínua, sem Escovas, com Imã Permanente, Sensor de Velocidade e Precisão de Giro de até 1%</t>
  </si>
  <si>
    <t>8501.31.10</t>
  </si>
  <si>
    <t>Exclusivamente Motor de Passo tipo Híbrido com 2 ou 4 faces de Acionamento com Ângulo de Passo menor ou igual a 1,8 graus</t>
  </si>
  <si>
    <t>8501.31.20</t>
  </si>
  <si>
    <t>Exclusivamente Gerador de Corrente Contínua com Controle Fino para Análise Volumétrica de Substâncias Químicas por Reações Eletrolíticas</t>
  </si>
  <si>
    <t>8511.80.30</t>
  </si>
  <si>
    <t>Exclusivamente Ignição Eletrônica Digital para Veículos Automotores</t>
  </si>
  <si>
    <t>8517.19.20</t>
  </si>
  <si>
    <t>Telefone Público</t>
  </si>
  <si>
    <t>8517.21.10</t>
  </si>
  <si>
    <t>Aparelhos de fac-símile e semelhantes com impressão por sistema técnico</t>
  </si>
  <si>
    <t>8517.21.20</t>
  </si>
  <si>
    <t>Aparelhos de fac-símile e semelhantes com impressão por sistema laser</t>
  </si>
  <si>
    <t>8517.21.30</t>
  </si>
  <si>
    <t>Aparelhos de fac-símile e semelhantes com impressão por jato de tinta</t>
  </si>
  <si>
    <t>8517.22</t>
  </si>
  <si>
    <t>Aparelhos de Teleimpressão</t>
  </si>
  <si>
    <t>8517.30.11</t>
  </si>
  <si>
    <t>Exclusivamente central de comutação e controle de telefonia celular, tipo CPA</t>
  </si>
  <si>
    <t>8517.30.13</t>
  </si>
  <si>
    <t>8517.30.14</t>
  </si>
  <si>
    <t>8517.30.15</t>
  </si>
  <si>
    <t>8517.30.19</t>
  </si>
  <si>
    <t>Exclusivamente Central de Comutação Automática PABX, tipo CPA</t>
  </si>
  <si>
    <t>8517.30.20</t>
  </si>
  <si>
    <t>Exclusivamente centrais automáticas de Vídeo Texto</t>
  </si>
  <si>
    <t>8517.30.4</t>
  </si>
  <si>
    <t>Exclusivamente centrais automáticas de comutação de pacotes</t>
  </si>
  <si>
    <t>8517.30.6</t>
  </si>
  <si>
    <t>Exclusivamente roteador digital, para conexão entre redes de comunicação de dados, com protocolos diferentes ou não, capacidade de discriminação, direcionamento e roteamento de mensagens inrer-redes</t>
  </si>
  <si>
    <t>8517.30.90</t>
  </si>
  <si>
    <t>Qualquer outro aparelho de comutação para telegrafia</t>
  </si>
  <si>
    <t>8517.50.1</t>
  </si>
  <si>
    <t>Modulador/demodulador de sinais (modem)</t>
  </si>
  <si>
    <t>Outros Aparelhos para Telecomunicações por Corrente Portadora Modulador/Demodulador de Sinais (modem)</t>
  </si>
  <si>
    <t>8517.50.30</t>
  </si>
  <si>
    <t>* Aparelho de Multiplexação</t>
  </si>
  <si>
    <t>8517.50.4</t>
  </si>
  <si>
    <t>8517.80.90</t>
  </si>
  <si>
    <t>Exclusivamente Anunciador Digital</t>
  </si>
  <si>
    <t>Exclusivamente Interceptador de Chamadas Telefônicas</t>
  </si>
  <si>
    <t>Exclusivamente Registrador de Tráfego Digital</t>
  </si>
  <si>
    <t>Exclusivamente Sistema de Aquisição remota de dados</t>
  </si>
  <si>
    <t>Exclusivamente Sistema de Transmissão Óptica</t>
  </si>
  <si>
    <t>Exclusivamente Sistema Repetidor Óptico</t>
  </si>
  <si>
    <t>Exclusivamente Terminal de Linha Óptica</t>
  </si>
  <si>
    <t>8517.90.91</t>
  </si>
  <si>
    <t>Mecanismo de impressão por sistema térmico ou a laser, para aparelhos de fac-símile</t>
  </si>
  <si>
    <t>5817.90.99</t>
  </si>
  <si>
    <t>Exclusivamente Módulos de Central Pública Telefônica</t>
  </si>
  <si>
    <t>8517.90.99</t>
  </si>
  <si>
    <t>Exclusivamente Módulo de Multiplexador</t>
  </si>
  <si>
    <t>Cabeçote impressor</t>
  </si>
  <si>
    <t>Outras, para Aparelhos de Fac-Símile</t>
  </si>
  <si>
    <t>8525.20.19</t>
  </si>
  <si>
    <t>Exclusivamente Sistemas de Comunicação em Infravermelho para Transmissão de Canais de Voz, Vídeo ou Dados</t>
  </si>
  <si>
    <t>8525.20.71</t>
  </si>
  <si>
    <t>Exclusivamente Rádio Digital</t>
  </si>
  <si>
    <t>8525.20.72</t>
  </si>
  <si>
    <t>8525.20.79</t>
  </si>
  <si>
    <t>8525.20.81</t>
  </si>
  <si>
    <t>8525.20.89</t>
  </si>
  <si>
    <t>8528.12.10</t>
  </si>
  <si>
    <t>Receptor-decodificador integrado IRD de sinais digitalizados de vídeos codificados</t>
  </si>
  <si>
    <t>8529.90.19</t>
  </si>
  <si>
    <t>Receptor de Sinal de Televisão Via Satélite com ou sem Controle Remoto</t>
  </si>
  <si>
    <t>8530.10.10</t>
  </si>
  <si>
    <t>Exclusivamente controlador digital automático de trens (ATC)</t>
  </si>
  <si>
    <t>8530.10.90</t>
  </si>
  <si>
    <t>Aparelhos de Telecomando e Telessinalização Luminosa, exclusivamente para Vias Férreas ou semelhante</t>
  </si>
  <si>
    <t>Exclusivamente Aparelho Eletrônico de Sinalização e Controle de Circuito de Via</t>
  </si>
  <si>
    <t>Exclusivamente intertravamento vital digital para controle de tráfego de trens</t>
  </si>
  <si>
    <t>8530.80.10</t>
  </si>
  <si>
    <t>Exclusivamente Controlador Digital para Controle de Tráfego Rodoviário</t>
  </si>
  <si>
    <t>8532.21.90</t>
  </si>
  <si>
    <t>Outros Condensadores Fixos de Tântalo</t>
  </si>
  <si>
    <t>8532.22.00</t>
  </si>
  <si>
    <t>Condensadores Fixos Eletrolíticos de Alumínio</t>
  </si>
  <si>
    <t>8532.23</t>
  </si>
  <si>
    <t>Condensador com Dielétricos de Cerâmica de uma só camada</t>
  </si>
  <si>
    <t>8532.24</t>
  </si>
  <si>
    <t>Condensador com Dielétrico de Cerâmica de camadas múltiplas</t>
  </si>
  <si>
    <t>8532.25</t>
  </si>
  <si>
    <t>Condensador com Dielétrico de Papel ou de Plástico</t>
  </si>
  <si>
    <t>8532.29</t>
  </si>
  <si>
    <t>Condensador com Dielétrico de Mica</t>
  </si>
  <si>
    <t>Outros Condensadores Fixos</t>
  </si>
  <si>
    <t>8532.30</t>
  </si>
  <si>
    <t>Condensadores Variáveis ou Ajustáveis</t>
  </si>
  <si>
    <t>8533.40.91</t>
  </si>
  <si>
    <t>Potenciômetros de Carvão</t>
  </si>
  <si>
    <t>8534.00.00</t>
  </si>
  <si>
    <t>Circuitos Impressos</t>
  </si>
  <si>
    <t>8536.49.00</t>
  </si>
  <si>
    <t>Exclusivamente Relé Digital para Energia Elétrica</t>
  </si>
  <si>
    <t>8536.90.30</t>
  </si>
  <si>
    <t>Suporte (Soquete) para Microestrutura Eletrônica</t>
  </si>
  <si>
    <t>8536.90.40</t>
  </si>
  <si>
    <t>Conector para Placa de Circuito Impresso</t>
  </si>
  <si>
    <t>8537.10.1</t>
  </si>
  <si>
    <t>Exclusivamente Comando Numérico Computadorizado (CNC) para tensão não superior a 1.000 V</t>
  </si>
  <si>
    <t>8537.10.90</t>
  </si>
  <si>
    <t>Exclusivamente Quadros, Painéis, Consoles de Instrumentos para Automação de Processos Industriais</t>
  </si>
  <si>
    <t>8537.20.00</t>
  </si>
  <si>
    <t>Outros, para tensão superior a 1.000 V</t>
  </si>
  <si>
    <t>8540.11.00</t>
  </si>
  <si>
    <t>Exclusivamente Tubos de Raios Catódicos a Cores, com Passo (Dot Pitch) menor ou igual a 0,45mm, para Monitor de Vídeo</t>
  </si>
  <si>
    <t>8540.12.00</t>
  </si>
  <si>
    <t>Exclusivamente Tubos Catódicos Monocromáticos, de Alta Resolução, para Monitor de Vídeo</t>
  </si>
  <si>
    <t>8540.60</t>
  </si>
  <si>
    <t>Outros Tubos Catódicos</t>
  </si>
  <si>
    <t>8540.60.90</t>
  </si>
  <si>
    <t>Tubos de Raios Catódicos com passo Dot-Pitch inferior ou igual a 39mm</t>
  </si>
  <si>
    <t>8541.10</t>
  </si>
  <si>
    <t>Outros Diodos, exceto Fotodiodos e Diodos Emissores de Luz</t>
  </si>
  <si>
    <t>8541.29.10</t>
  </si>
  <si>
    <t>Outros Transistores, exceto Fototransistores</t>
  </si>
  <si>
    <t>8541.40.11</t>
  </si>
  <si>
    <t>Diodo Emissor de Luz (Led)</t>
  </si>
  <si>
    <t>8541.40.21</t>
  </si>
  <si>
    <t>8541.40.13</t>
  </si>
  <si>
    <t>Fotodiodo</t>
  </si>
  <si>
    <t>8541.40.23</t>
  </si>
  <si>
    <t>8541.40.31</t>
  </si>
  <si>
    <t>8541.40.19</t>
  </si>
  <si>
    <t>Qualquer Outro Dispositivo Fotossensível Semicondutor incluindo as Células Fotovoltaicas mesmo montadas em Módulos ou Painéis, Diodo Emissor de Luz</t>
  </si>
  <si>
    <t>8541.40.29</t>
  </si>
  <si>
    <t>8541.40.39</t>
  </si>
  <si>
    <t>8541.60</t>
  </si>
  <si>
    <t>Cristais piezoelétricos montados</t>
  </si>
  <si>
    <t>8542.13.10</t>
  </si>
  <si>
    <t>Circuitos integrados monolíticos digitais em pastilhas (chips) e em lâminas (wafers), não montadas</t>
  </si>
  <si>
    <t>8542.13.9</t>
  </si>
  <si>
    <t>Outros circuitos integrados monolíticos digitais</t>
  </si>
  <si>
    <t>8542.30.10</t>
  </si>
  <si>
    <t>Circuitos Integrados Monolíticos outros, em Pastilhas (Chips) e em Lâminas (Wafers) não Montados</t>
  </si>
  <si>
    <t>8542.30.2</t>
  </si>
  <si>
    <t>Outros Circuitos Integrados Monolíticos</t>
  </si>
  <si>
    <t>8542.40</t>
  </si>
  <si>
    <t>Circuitos Integrados Híbridos</t>
  </si>
  <si>
    <t>8542.90.10</t>
  </si>
  <si>
    <t>Tiras de terminais ou terminais (leadframe)</t>
  </si>
  <si>
    <t>8542.90.20</t>
  </si>
  <si>
    <t>Cápsulas Cerâmicas para Circuitos Integrados e Microconjuntos</t>
  </si>
  <si>
    <t>8542.90.90</t>
  </si>
  <si>
    <t>Outras Partes</t>
  </si>
  <si>
    <t>8543.20.00</t>
  </si>
  <si>
    <t>Geradores de sinais de baixa e alta freqüência (osciladores)</t>
  </si>
  <si>
    <t>Outros geradores de sinais</t>
  </si>
  <si>
    <t>8543.89.19</t>
  </si>
  <si>
    <t>Exclusivamente Amplificador de baixo ruído com conversão de frequência "LNB"</t>
  </si>
  <si>
    <t>8543.89.39</t>
  </si>
  <si>
    <t>Exclusivamente Receptor de Sinais de Televisão Via Cabo com ou sem Controle Remoto</t>
  </si>
  <si>
    <t>8544.41.00</t>
  </si>
  <si>
    <t>Fios, Cabos munidos de Peças de Conexão para Tensão não superior a 80V</t>
  </si>
  <si>
    <t>8544.51.00</t>
  </si>
  <si>
    <t>Fios, Cabos munidos de Peças de Conexão para Tensão superior a 80V mas não superior a 1000V</t>
  </si>
  <si>
    <t>9013.80.10</t>
  </si>
  <si>
    <t>Dispositivos de Cristais Líquidos (LCD)</t>
  </si>
  <si>
    <t>9025.19.90</t>
  </si>
  <si>
    <t>Exclusivamente Indicadores Digitais de Temperatura de Painéis</t>
  </si>
  <si>
    <t>Exclusivamente Termômetro Digital Portátil</t>
  </si>
  <si>
    <t>9025.90.10</t>
  </si>
  <si>
    <t>Exclusivamente Partes e Acessórios para Sensores de Temperatura</t>
  </si>
  <si>
    <t>9026.20.90</t>
  </si>
  <si>
    <t>Medidor digital de vazão</t>
  </si>
  <si>
    <t>9028.20.10</t>
  </si>
  <si>
    <t>Módulo Microcomputador de Abastecimento</t>
  </si>
  <si>
    <t>9028.30.11</t>
  </si>
  <si>
    <t>Exclusivamente Registrador/Medidor Digital de Energia Elétrica</t>
  </si>
  <si>
    <t>9030.83.90</t>
  </si>
  <si>
    <t>Exclusivamente Equipamento de Teste Automático para Placa e Circuito Impresso</t>
  </si>
  <si>
    <t>9031.80.90</t>
  </si>
  <si>
    <t>Máquina para Medir Comprimento, Espessura, Ângulo ou Distância, com tolerância máxima de 0,001mm, exclusivamente para:</t>
  </si>
  <si>
    <t>- Sensores de Deslocamento tipo Ótico</t>
  </si>
  <si>
    <t>- Sensores de Deslocamento tipo Indução</t>
  </si>
  <si>
    <t>Indicadores de Posição por Coordenadas, próprio para Máquinas-Ferramenteas</t>
  </si>
  <si>
    <t>Exclusivamente Conversores de Sinais Analógico para Processos Industriais</t>
  </si>
  <si>
    <t>9032.89.81</t>
  </si>
  <si>
    <t>Exclusivamente Transmissor Digital de Pressão</t>
  </si>
  <si>
    <t>9032.89.82</t>
  </si>
  <si>
    <t>Exclusivamente Transmissor Digital de Temperatura</t>
  </si>
  <si>
    <t>9032.89.89</t>
  </si>
  <si>
    <t>Exclusivamente Controlador de Tráfego</t>
  </si>
  <si>
    <t>8032.89.89</t>
  </si>
  <si>
    <t>Exclusivamente Indicador Digital de Alarme</t>
  </si>
  <si>
    <t>Exclusivamente Programador de Set-Point</t>
  </si>
  <si>
    <t>9032.89.90</t>
  </si>
  <si>
    <t>Exclusivamente Controlador Digital de Demanda de Energia Eelétrica</t>
  </si>
  <si>
    <t>Exclusivamente Unidade de Supervisão e Controle</t>
  </si>
  <si>
    <t>Exclusivamente Conversor Universal de Sinais</t>
  </si>
  <si>
    <t>9032.90.99</t>
  </si>
  <si>
    <t>Partes e Acessório de Aparelhos para Regulação e Controle do item 9032.89.8</t>
  </si>
  <si>
    <t>8525.20.22</t>
  </si>
  <si>
    <t>Aparelho transmissor com aparelho receptor incorporado de telefonia celular - terminal portátil</t>
  </si>
  <si>
    <t>8525.20.23</t>
  </si>
  <si>
    <t>Aparelho transmissor com aparelho receptor incorporado de telefonia celular - terminal fixo sem fonte própria de energia</t>
  </si>
  <si>
    <t>8525.20.24</t>
  </si>
  <si>
    <t>Aparelho transmissor com aparelho receptor incorporado de telefonia celular - terminal móvel para automóvel</t>
  </si>
  <si>
    <t>8423.81</t>
  </si>
  <si>
    <t>Balança Eletrônica Digital</t>
  </si>
  <si>
    <t>8423.82</t>
  </si>
  <si>
    <t>8423.90</t>
  </si>
  <si>
    <t>Impressor Matricial</t>
  </si>
  <si>
    <t>Impressor Técnico de Código de Barras</t>
  </si>
  <si>
    <t>Módulo Dosador</t>
  </si>
  <si>
    <t>Indicador Digital de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</si>
</sst>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rgb="FF1111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/>
    <xf numFmtId="44" fontId="1" fillId="0" borderId="0"/>
  </cellStyleXfs>
  <cellXfs count="52">
    <xf numFmtId="0" fontId="0" fillId="0" borderId="0" xfId="0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Protection="1">
      <protection locked="0"/>
    </xf>
    <xf numFmtId="4" fontId="5" fillId="0" borderId="1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 applyProtection="1">
      <alignment horizontal="center"/>
      <protection locked="0"/>
    </xf>
    <xf numFmtId="164" fontId="0" fillId="0" borderId="1" xfId="0" applyNumberFormat="1" applyBorder="1"/>
    <xf numFmtId="4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center" wrapText="1"/>
    </xf>
    <xf numFmtId="4" fontId="5" fillId="0" borderId="2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/>
    </xf>
    <xf numFmtId="4" fontId="5" fillId="0" borderId="1" xfId="1" applyNumberFormat="1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3" fontId="5" fillId="0" borderId="1" xfId="0" applyNumberFormat="1" applyFont="1" applyBorder="1"/>
    <xf numFmtId="0" fontId="6" fillId="0" borderId="1" xfId="0" applyFont="1" applyBorder="1"/>
    <xf numFmtId="4" fontId="6" fillId="0" borderId="2" xfId="0" applyNumberFormat="1" applyFont="1" applyBorder="1" applyAlignment="1">
      <alignment horizontal="center"/>
    </xf>
    <xf numFmtId="0" fontId="0" fillId="0" borderId="3" xfId="0" applyBorder="1"/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9" fillId="0" borderId="0" xfId="2" applyNumberFormat="1" applyFont="1"/>
    <xf numFmtId="0" fontId="0" fillId="0" borderId="1" xfId="0" applyBorder="1" applyAlignment="1" applyProtection="1">
      <alignment vertical="center"/>
      <protection locked="0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2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/>
    </xf>
    <xf numFmtId="4" fontId="5" fillId="3" borderId="2" xfId="0" applyNumberFormat="1" applyFont="1" applyFill="1" applyBorder="1" applyAlignment="1">
      <alignment horizontal="center"/>
    </xf>
    <xf numFmtId="4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2"/>
  <sheetViews>
    <sheetView tabSelected="1" zoomScale="110" zoomScaleNormal="110" workbookViewId="0">
      <pane ySplit="1" topLeftCell="A217" activePane="bottomLeft" state="frozen"/>
      <selection pane="bottomLeft" activeCell="A236" sqref="A236"/>
    </sheetView>
  </sheetViews>
  <sheetFormatPr defaultRowHeight="15" x14ac:dyDescent="0.25"/>
  <cols>
    <col min="1" max="1" width="12" bestFit="1" customWidth="1"/>
    <col min="2" max="2" width="82.42578125" style="51" bestFit="1" customWidth="1"/>
    <col min="3" max="3" width="6.28515625" bestFit="1" customWidth="1"/>
    <col min="4" max="4" width="12" bestFit="1" customWidth="1"/>
    <col min="5" max="5" width="11.85546875" bestFit="1" customWidth="1"/>
    <col min="6" max="6" width="9.140625" bestFit="1" customWidth="1"/>
    <col min="7" max="7" width="13.5703125" style="41" bestFit="1" customWidth="1"/>
    <col min="8" max="8" width="12.140625" style="41" bestFit="1" customWidth="1"/>
    <col min="9" max="9" width="7.7109375" style="41" bestFit="1" customWidth="1"/>
    <col min="10" max="10" width="9.85546875" bestFit="1" customWidth="1"/>
    <col min="11" max="11" width="16.85546875" style="29" bestFit="1" customWidth="1"/>
    <col min="13" max="13" width="10.85546875" bestFit="1" customWidth="1"/>
  </cols>
  <sheetData>
    <row r="1" spans="1:15" ht="38.25" customHeight="1" x14ac:dyDescent="0.25">
      <c r="A1" s="1" t="s">
        <v>0</v>
      </c>
      <c r="B1" s="47" t="s">
        <v>1</v>
      </c>
      <c r="C1" s="2" t="s">
        <v>2</v>
      </c>
      <c r="D1" s="4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7" t="s">
        <v>10</v>
      </c>
      <c r="L1" s="2" t="s">
        <v>11</v>
      </c>
      <c r="M1" s="2" t="s">
        <v>12</v>
      </c>
      <c r="N1" s="46" t="s">
        <v>13</v>
      </c>
      <c r="O1" s="46" t="s">
        <v>14</v>
      </c>
    </row>
    <row r="2" spans="1:15" x14ac:dyDescent="0.25">
      <c r="A2" s="5" t="s">
        <v>15</v>
      </c>
      <c r="B2" s="21" t="s">
        <v>16</v>
      </c>
      <c r="C2" s="6" t="s">
        <v>17</v>
      </c>
      <c r="D2" s="7" t="s">
        <v>18</v>
      </c>
      <c r="E2" s="7" t="s">
        <v>19</v>
      </c>
      <c r="F2" s="6" t="str">
        <f t="shared" ref="F2:F65" si="0">IF(C2="C/ST","ICMS-ST","DIFAL")</f>
        <v>ICMS-ST</v>
      </c>
      <c r="G2" s="8">
        <v>32.21</v>
      </c>
      <c r="H2" s="9">
        <v>21.19</v>
      </c>
      <c r="I2" s="10">
        <v>12.5</v>
      </c>
      <c r="J2" s="11"/>
      <c r="K2" s="28">
        <f t="shared" ref="K2:K65" si="1">IF(D2="EXTERNA",IF(C2="C/ST",IF(E2="IMPORTADA",J2*G2%,J2*H2%),IF(E2="NACIONAL",J2*H2%,J2*G2%)),0)</f>
        <v>0</v>
      </c>
      <c r="L2" s="12">
        <f t="shared" ref="L2:L65" si="2">IF(AND(C2="C/ST",F2="ICMS-ST", D2="INTERNA"),(J2*I2%),0)</f>
        <v>0</v>
      </c>
      <c r="M2" s="12">
        <f t="shared" ref="M2:M65" si="3">J2+K2+L2</f>
        <v>0</v>
      </c>
    </row>
    <row r="3" spans="1:15" x14ac:dyDescent="0.25">
      <c r="A3" s="5" t="s">
        <v>20</v>
      </c>
      <c r="B3" s="21" t="s">
        <v>21</v>
      </c>
      <c r="C3" s="6" t="s">
        <v>17</v>
      </c>
      <c r="D3" s="7" t="s">
        <v>22</v>
      </c>
      <c r="E3" s="7" t="s">
        <v>19</v>
      </c>
      <c r="F3" s="6" t="str">
        <f t="shared" si="0"/>
        <v>ICMS-ST</v>
      </c>
      <c r="G3" s="8">
        <v>21.37</v>
      </c>
      <c r="H3" s="9">
        <v>11.25</v>
      </c>
      <c r="I3" s="13">
        <v>7.125</v>
      </c>
      <c r="J3" s="11"/>
      <c r="K3" s="28">
        <f t="shared" si="1"/>
        <v>0</v>
      </c>
      <c r="L3" s="12">
        <f t="shared" si="2"/>
        <v>0</v>
      </c>
      <c r="M3" s="12">
        <f t="shared" si="3"/>
        <v>0</v>
      </c>
      <c r="N3" t="s">
        <v>23</v>
      </c>
    </row>
    <row r="4" spans="1:15" x14ac:dyDescent="0.25">
      <c r="A4" s="5" t="s">
        <v>24</v>
      </c>
      <c r="B4" s="21" t="s">
        <v>25</v>
      </c>
      <c r="C4" s="6" t="s">
        <v>17</v>
      </c>
      <c r="D4" s="7" t="s">
        <v>22</v>
      </c>
      <c r="E4" s="7" t="s">
        <v>26</v>
      </c>
      <c r="F4" s="6" t="str">
        <f t="shared" si="0"/>
        <v>ICMS-ST</v>
      </c>
      <c r="G4" s="8">
        <v>19.84</v>
      </c>
      <c r="H4" s="9">
        <v>9.86</v>
      </c>
      <c r="I4" s="13">
        <v>6.43</v>
      </c>
      <c r="J4" s="11"/>
      <c r="K4" s="28">
        <f t="shared" si="1"/>
        <v>0</v>
      </c>
      <c r="L4" s="12">
        <f t="shared" si="2"/>
        <v>0</v>
      </c>
      <c r="M4" s="12">
        <f t="shared" si="3"/>
        <v>0</v>
      </c>
      <c r="N4" t="s">
        <v>23</v>
      </c>
    </row>
    <row r="5" spans="1:15" x14ac:dyDescent="0.25">
      <c r="A5" s="5" t="s">
        <v>27</v>
      </c>
      <c r="B5" s="21" t="s">
        <v>28</v>
      </c>
      <c r="C5" s="6" t="s">
        <v>17</v>
      </c>
      <c r="D5" s="7" t="s">
        <v>22</v>
      </c>
      <c r="E5" s="7" t="s">
        <v>26</v>
      </c>
      <c r="F5" s="6" t="str">
        <f t="shared" si="0"/>
        <v>ICMS-ST</v>
      </c>
      <c r="G5" s="8">
        <v>16.899999999999999</v>
      </c>
      <c r="H5" s="9">
        <v>7.16</v>
      </c>
      <c r="I5" s="14">
        <v>5.08</v>
      </c>
      <c r="J5" s="11"/>
      <c r="K5" s="28">
        <f t="shared" si="1"/>
        <v>0</v>
      </c>
      <c r="L5" s="12">
        <f t="shared" si="2"/>
        <v>0</v>
      </c>
      <c r="M5" s="12">
        <f t="shared" si="3"/>
        <v>0</v>
      </c>
      <c r="N5" t="s">
        <v>23</v>
      </c>
    </row>
    <row r="6" spans="1:15" x14ac:dyDescent="0.25">
      <c r="A6" s="5" t="s">
        <v>29</v>
      </c>
      <c r="B6" s="21" t="s">
        <v>30</v>
      </c>
      <c r="C6" s="6" t="s">
        <v>17</v>
      </c>
      <c r="D6" s="7" t="s">
        <v>22</v>
      </c>
      <c r="E6" s="7" t="s">
        <v>26</v>
      </c>
      <c r="F6" s="6" t="str">
        <f t="shared" si="0"/>
        <v>ICMS-ST</v>
      </c>
      <c r="G6" s="8">
        <v>32.26</v>
      </c>
      <c r="H6" s="45">
        <v>33.93</v>
      </c>
      <c r="I6" s="13">
        <v>12.12</v>
      </c>
      <c r="J6" s="11"/>
      <c r="K6" s="28">
        <f t="shared" si="1"/>
        <v>0</v>
      </c>
      <c r="L6" s="12">
        <f t="shared" si="2"/>
        <v>0</v>
      </c>
      <c r="M6" s="12">
        <f t="shared" si="3"/>
        <v>0</v>
      </c>
      <c r="N6" t="s">
        <v>31</v>
      </c>
    </row>
    <row r="7" spans="1:15" x14ac:dyDescent="0.25">
      <c r="A7" s="5" t="s">
        <v>32</v>
      </c>
      <c r="B7" s="21" t="s">
        <v>33</v>
      </c>
      <c r="C7" s="6" t="s">
        <v>17</v>
      </c>
      <c r="D7" s="7" t="s">
        <v>22</v>
      </c>
      <c r="E7" s="7" t="s">
        <v>26</v>
      </c>
      <c r="F7" s="6" t="str">
        <f t="shared" si="0"/>
        <v>ICMS-ST</v>
      </c>
      <c r="G7" s="8">
        <v>31.76</v>
      </c>
      <c r="H7" s="9">
        <v>20.78</v>
      </c>
      <c r="I7" s="13">
        <v>11.89</v>
      </c>
      <c r="J7" s="11"/>
      <c r="K7" s="28">
        <f t="shared" si="1"/>
        <v>0</v>
      </c>
      <c r="L7" s="12">
        <f t="shared" si="2"/>
        <v>0</v>
      </c>
      <c r="M7" s="12">
        <f t="shared" si="3"/>
        <v>0</v>
      </c>
    </row>
    <row r="8" spans="1:15" x14ac:dyDescent="0.25">
      <c r="A8" s="5" t="s">
        <v>34</v>
      </c>
      <c r="B8" s="21" t="s">
        <v>35</v>
      </c>
      <c r="C8" s="6" t="s">
        <v>17</v>
      </c>
      <c r="D8" s="7" t="s">
        <v>22</v>
      </c>
      <c r="E8" s="7" t="s">
        <v>26</v>
      </c>
      <c r="F8" s="6" t="str">
        <f t="shared" si="0"/>
        <v>ICMS-ST</v>
      </c>
      <c r="G8" s="8">
        <v>37.31</v>
      </c>
      <c r="H8" s="9">
        <v>25.87</v>
      </c>
      <c r="I8" s="13">
        <v>14.435</v>
      </c>
      <c r="J8" s="11"/>
      <c r="K8" s="28">
        <f t="shared" si="1"/>
        <v>0</v>
      </c>
      <c r="L8" s="12">
        <f t="shared" si="2"/>
        <v>0</v>
      </c>
      <c r="M8" s="12">
        <f t="shared" si="3"/>
        <v>0</v>
      </c>
    </row>
    <row r="9" spans="1:15" x14ac:dyDescent="0.25">
      <c r="A9" s="5" t="s">
        <v>36</v>
      </c>
      <c r="B9" s="21" t="s">
        <v>37</v>
      </c>
      <c r="C9" s="6" t="s">
        <v>17</v>
      </c>
      <c r="D9" s="7" t="s">
        <v>22</v>
      </c>
      <c r="E9" s="7" t="s">
        <v>26</v>
      </c>
      <c r="F9" s="6" t="str">
        <f t="shared" si="0"/>
        <v>ICMS-ST</v>
      </c>
      <c r="G9" s="8">
        <v>33.909999999999997</v>
      </c>
      <c r="H9" s="9">
        <v>22.75</v>
      </c>
      <c r="I9" s="13">
        <v>12.875</v>
      </c>
      <c r="J9" s="11"/>
      <c r="K9" s="28">
        <f t="shared" si="1"/>
        <v>0</v>
      </c>
      <c r="L9" s="12">
        <f t="shared" si="2"/>
        <v>0</v>
      </c>
      <c r="M9" s="12">
        <f t="shared" si="3"/>
        <v>0</v>
      </c>
    </row>
    <row r="10" spans="1:15" x14ac:dyDescent="0.25">
      <c r="A10" s="5" t="s">
        <v>38</v>
      </c>
      <c r="B10" s="21" t="s">
        <v>37</v>
      </c>
      <c r="C10" s="6" t="s">
        <v>17</v>
      </c>
      <c r="D10" s="7" t="s">
        <v>22</v>
      </c>
      <c r="E10" s="7" t="s">
        <v>26</v>
      </c>
      <c r="F10" s="6" t="str">
        <f t="shared" si="0"/>
        <v>ICMS-ST</v>
      </c>
      <c r="G10" s="8">
        <v>31.03</v>
      </c>
      <c r="H10" s="9">
        <v>20.11</v>
      </c>
      <c r="I10" s="13">
        <v>11.555</v>
      </c>
      <c r="J10" s="11"/>
      <c r="K10" s="28">
        <f t="shared" si="1"/>
        <v>0</v>
      </c>
      <c r="L10" s="12">
        <f t="shared" si="2"/>
        <v>0</v>
      </c>
      <c r="M10" s="12">
        <f t="shared" si="3"/>
        <v>0</v>
      </c>
    </row>
    <row r="11" spans="1:15" x14ac:dyDescent="0.25">
      <c r="A11" s="5" t="s">
        <v>39</v>
      </c>
      <c r="B11" s="21" t="s">
        <v>40</v>
      </c>
      <c r="C11" s="6" t="s">
        <v>17</v>
      </c>
      <c r="D11" s="7" t="s">
        <v>22</v>
      </c>
      <c r="E11" s="7" t="s">
        <v>26</v>
      </c>
      <c r="F11" s="6" t="str">
        <f t="shared" si="0"/>
        <v>ICMS-ST</v>
      </c>
      <c r="G11" s="8">
        <v>34.18</v>
      </c>
      <c r="H11" s="9">
        <v>23</v>
      </c>
      <c r="I11" s="13">
        <v>13</v>
      </c>
      <c r="J11" s="11"/>
      <c r="K11" s="28">
        <f t="shared" si="1"/>
        <v>0</v>
      </c>
      <c r="L11" s="12">
        <f t="shared" si="2"/>
        <v>0</v>
      </c>
      <c r="M11" s="12">
        <f t="shared" si="3"/>
        <v>0</v>
      </c>
    </row>
    <row r="12" spans="1:15" x14ac:dyDescent="0.25">
      <c r="A12" s="5" t="s">
        <v>41</v>
      </c>
      <c r="B12" s="21" t="s">
        <v>42</v>
      </c>
      <c r="C12" s="6" t="s">
        <v>17</v>
      </c>
      <c r="D12" s="7" t="s">
        <v>22</v>
      </c>
      <c r="E12" s="7" t="s">
        <v>26</v>
      </c>
      <c r="F12" s="6" t="str">
        <f t="shared" si="0"/>
        <v>ICMS-ST</v>
      </c>
      <c r="G12" s="8">
        <v>38.85</v>
      </c>
      <c r="H12" s="9">
        <v>27.28</v>
      </c>
      <c r="I12" s="13">
        <v>15.14</v>
      </c>
      <c r="J12" s="11"/>
      <c r="K12" s="28">
        <f t="shared" si="1"/>
        <v>0</v>
      </c>
      <c r="L12" s="12">
        <f t="shared" si="2"/>
        <v>0</v>
      </c>
      <c r="M12" s="12">
        <f t="shared" si="3"/>
        <v>0</v>
      </c>
    </row>
    <row r="13" spans="1:15" x14ac:dyDescent="0.25">
      <c r="A13" s="5" t="s">
        <v>43</v>
      </c>
      <c r="B13" s="21" t="s">
        <v>44</v>
      </c>
      <c r="C13" s="6" t="s">
        <v>17</v>
      </c>
      <c r="D13" s="7" t="s">
        <v>18</v>
      </c>
      <c r="E13" s="7" t="s">
        <v>26</v>
      </c>
      <c r="F13" s="6" t="str">
        <f t="shared" si="0"/>
        <v>ICMS-ST</v>
      </c>
      <c r="G13" s="8">
        <v>37.33</v>
      </c>
      <c r="H13" s="9">
        <v>25.89</v>
      </c>
      <c r="I13" s="13">
        <v>14.445</v>
      </c>
      <c r="J13" s="11"/>
      <c r="K13" s="28">
        <f t="shared" si="1"/>
        <v>0</v>
      </c>
      <c r="L13" s="12">
        <f t="shared" si="2"/>
        <v>0</v>
      </c>
      <c r="M13" s="12">
        <f t="shared" si="3"/>
        <v>0</v>
      </c>
    </row>
    <row r="14" spans="1:15" x14ac:dyDescent="0.25">
      <c r="A14" s="5" t="s">
        <v>45</v>
      </c>
      <c r="B14" s="21" t="s">
        <v>46</v>
      </c>
      <c r="C14" s="6" t="s">
        <v>17</v>
      </c>
      <c r="D14" s="7" t="s">
        <v>22</v>
      </c>
      <c r="E14" s="7" t="s">
        <v>26</v>
      </c>
      <c r="F14" s="6" t="str">
        <f t="shared" si="0"/>
        <v>ICMS-ST</v>
      </c>
      <c r="G14" s="8">
        <v>33.03</v>
      </c>
      <c r="H14" s="9">
        <v>21.94</v>
      </c>
      <c r="I14" s="10">
        <v>12.47</v>
      </c>
      <c r="J14" s="11"/>
      <c r="K14" s="28">
        <f t="shared" si="1"/>
        <v>0</v>
      </c>
      <c r="L14" s="12">
        <f t="shared" si="2"/>
        <v>0</v>
      </c>
      <c r="M14" s="12">
        <f t="shared" si="3"/>
        <v>0</v>
      </c>
    </row>
    <row r="15" spans="1:15" x14ac:dyDescent="0.25">
      <c r="A15" s="5" t="s">
        <v>47</v>
      </c>
      <c r="B15" s="21" t="s">
        <v>46</v>
      </c>
      <c r="C15" s="6" t="s">
        <v>17</v>
      </c>
      <c r="D15" s="7" t="s">
        <v>22</v>
      </c>
      <c r="E15" s="7" t="s">
        <v>26</v>
      </c>
      <c r="F15" s="6" t="str">
        <f t="shared" si="0"/>
        <v>ICMS-ST</v>
      </c>
      <c r="G15" s="8">
        <v>33.03</v>
      </c>
      <c r="H15" s="9">
        <v>21.94</v>
      </c>
      <c r="I15" s="13">
        <v>12.47</v>
      </c>
      <c r="J15" s="11"/>
      <c r="K15" s="28">
        <f t="shared" si="1"/>
        <v>0</v>
      </c>
      <c r="L15" s="12">
        <f t="shared" si="2"/>
        <v>0</v>
      </c>
      <c r="M15" s="12">
        <f t="shared" si="3"/>
        <v>0</v>
      </c>
    </row>
    <row r="16" spans="1:15" x14ac:dyDescent="0.25">
      <c r="A16" s="5" t="s">
        <v>48</v>
      </c>
      <c r="B16" s="21" t="s">
        <v>49</v>
      </c>
      <c r="C16" s="6" t="s">
        <v>17</v>
      </c>
      <c r="D16" s="7" t="s">
        <v>22</v>
      </c>
      <c r="E16" s="7" t="s">
        <v>26</v>
      </c>
      <c r="F16" s="6" t="str">
        <f t="shared" si="0"/>
        <v>ICMS-ST</v>
      </c>
      <c r="G16" s="8">
        <v>22.77</v>
      </c>
      <c r="H16" s="9">
        <v>12.54</v>
      </c>
      <c r="I16" s="13">
        <v>7.77</v>
      </c>
      <c r="J16" s="11"/>
      <c r="K16" s="28">
        <f t="shared" si="1"/>
        <v>0</v>
      </c>
      <c r="L16" s="12">
        <f t="shared" si="2"/>
        <v>0</v>
      </c>
      <c r="M16" s="12">
        <f t="shared" si="3"/>
        <v>0</v>
      </c>
    </row>
    <row r="17" spans="1:14" x14ac:dyDescent="0.25">
      <c r="A17" s="5" t="s">
        <v>50</v>
      </c>
      <c r="B17" s="21" t="s">
        <v>51</v>
      </c>
      <c r="C17" s="6" t="s">
        <v>17</v>
      </c>
      <c r="D17" s="7" t="s">
        <v>22</v>
      </c>
      <c r="E17" s="7" t="s">
        <v>26</v>
      </c>
      <c r="F17" s="6" t="str">
        <f t="shared" si="0"/>
        <v>ICMS-ST</v>
      </c>
      <c r="G17" s="8">
        <v>34.72</v>
      </c>
      <c r="H17" s="9">
        <v>23.49</v>
      </c>
      <c r="I17" s="13">
        <v>13.244999999999999</v>
      </c>
      <c r="J17" s="11"/>
      <c r="K17" s="28">
        <f t="shared" si="1"/>
        <v>0</v>
      </c>
      <c r="L17" s="12">
        <f t="shared" si="2"/>
        <v>0</v>
      </c>
      <c r="M17" s="12">
        <f t="shared" si="3"/>
        <v>0</v>
      </c>
    </row>
    <row r="18" spans="1:14" x14ac:dyDescent="0.25">
      <c r="A18" s="15" t="s">
        <v>52</v>
      </c>
      <c r="B18" s="48" t="s">
        <v>53</v>
      </c>
      <c r="C18" s="6" t="s">
        <v>17</v>
      </c>
      <c r="D18" s="7" t="s">
        <v>22</v>
      </c>
      <c r="E18" s="7" t="s">
        <v>26</v>
      </c>
      <c r="F18" s="6" t="str">
        <f t="shared" si="0"/>
        <v>ICMS-ST</v>
      </c>
      <c r="G18" s="16">
        <v>36.619999999999997</v>
      </c>
      <c r="H18" s="17">
        <v>25.23</v>
      </c>
      <c r="I18" s="13">
        <v>14.115</v>
      </c>
      <c r="J18" s="11"/>
      <c r="K18" s="28">
        <f t="shared" si="1"/>
        <v>0</v>
      </c>
      <c r="L18" s="12">
        <f t="shared" si="2"/>
        <v>0</v>
      </c>
      <c r="M18" s="12">
        <f t="shared" si="3"/>
        <v>0</v>
      </c>
    </row>
    <row r="19" spans="1:14" x14ac:dyDescent="0.25">
      <c r="A19" s="18" t="s">
        <v>54</v>
      </c>
      <c r="B19" s="48" t="s">
        <v>55</v>
      </c>
      <c r="C19" s="6" t="s">
        <v>17</v>
      </c>
      <c r="D19" s="7" t="s">
        <v>22</v>
      </c>
      <c r="E19" s="7" t="s">
        <v>26</v>
      </c>
      <c r="F19" s="6" t="str">
        <f t="shared" si="0"/>
        <v>ICMS-ST</v>
      </c>
      <c r="G19" s="16">
        <v>36.619999999999997</v>
      </c>
      <c r="H19" s="17">
        <v>25.23</v>
      </c>
      <c r="I19" s="13">
        <v>14.115</v>
      </c>
      <c r="J19" s="11"/>
      <c r="K19" s="28">
        <f t="shared" si="1"/>
        <v>0</v>
      </c>
      <c r="L19" s="12">
        <f t="shared" si="2"/>
        <v>0</v>
      </c>
      <c r="M19" s="12">
        <f t="shared" si="3"/>
        <v>0</v>
      </c>
    </row>
    <row r="20" spans="1:14" x14ac:dyDescent="0.25">
      <c r="A20" s="15" t="s">
        <v>56</v>
      </c>
      <c r="B20" s="48" t="s">
        <v>57</v>
      </c>
      <c r="C20" s="6" t="s">
        <v>17</v>
      </c>
      <c r="D20" s="7" t="s">
        <v>22</v>
      </c>
      <c r="E20" s="7" t="s">
        <v>26</v>
      </c>
      <c r="F20" s="6" t="str">
        <f t="shared" si="0"/>
        <v>ICMS-ST</v>
      </c>
      <c r="G20" s="16">
        <v>36.619999999999997</v>
      </c>
      <c r="H20" s="17">
        <v>25.23</v>
      </c>
      <c r="I20" s="13">
        <v>14.115</v>
      </c>
      <c r="J20" s="11"/>
      <c r="K20" s="28">
        <f t="shared" si="1"/>
        <v>0</v>
      </c>
      <c r="L20" s="12">
        <f t="shared" si="2"/>
        <v>0</v>
      </c>
      <c r="M20" s="12">
        <f t="shared" si="3"/>
        <v>0</v>
      </c>
    </row>
    <row r="21" spans="1:14" x14ac:dyDescent="0.25">
      <c r="A21" s="15" t="s">
        <v>58</v>
      </c>
      <c r="B21" s="21" t="s">
        <v>57</v>
      </c>
      <c r="C21" s="6" t="s">
        <v>17</v>
      </c>
      <c r="D21" s="7" t="s">
        <v>22</v>
      </c>
      <c r="E21" s="7" t="s">
        <v>26</v>
      </c>
      <c r="F21" s="6" t="str">
        <f t="shared" si="0"/>
        <v>ICMS-ST</v>
      </c>
      <c r="G21" s="16">
        <v>36.619999999999997</v>
      </c>
      <c r="H21" s="17">
        <v>25.23</v>
      </c>
      <c r="I21" s="13">
        <v>14.115</v>
      </c>
      <c r="J21" s="11"/>
      <c r="K21" s="28">
        <f t="shared" si="1"/>
        <v>0</v>
      </c>
      <c r="L21" s="12">
        <f t="shared" si="2"/>
        <v>0</v>
      </c>
      <c r="M21" s="12">
        <f t="shared" si="3"/>
        <v>0</v>
      </c>
      <c r="N21" t="s">
        <v>23</v>
      </c>
    </row>
    <row r="22" spans="1:14" x14ac:dyDescent="0.25">
      <c r="A22" s="5" t="s">
        <v>59</v>
      </c>
      <c r="B22" s="21" t="s">
        <v>60</v>
      </c>
      <c r="C22" s="6" t="s">
        <v>17</v>
      </c>
      <c r="D22" s="7" t="s">
        <v>22</v>
      </c>
      <c r="E22" s="7" t="s">
        <v>26</v>
      </c>
      <c r="F22" s="6" t="str">
        <f t="shared" si="0"/>
        <v>ICMS-ST</v>
      </c>
      <c r="G22" s="8">
        <v>39.9</v>
      </c>
      <c r="H22" s="9">
        <v>28.24</v>
      </c>
      <c r="I22" s="13">
        <v>15.62</v>
      </c>
      <c r="J22" s="11"/>
      <c r="K22" s="28">
        <f t="shared" si="1"/>
        <v>0</v>
      </c>
      <c r="L22" s="12">
        <f t="shared" si="2"/>
        <v>0</v>
      </c>
      <c r="M22" s="12">
        <f t="shared" si="3"/>
        <v>0</v>
      </c>
    </row>
    <row r="23" spans="1:14" x14ac:dyDescent="0.25">
      <c r="A23" s="5" t="s">
        <v>61</v>
      </c>
      <c r="B23" s="21" t="s">
        <v>62</v>
      </c>
      <c r="C23" s="6" t="s">
        <v>17</v>
      </c>
      <c r="D23" s="7" t="s">
        <v>22</v>
      </c>
      <c r="E23" s="7" t="s">
        <v>26</v>
      </c>
      <c r="F23" s="6" t="str">
        <f t="shared" si="0"/>
        <v>ICMS-ST</v>
      </c>
      <c r="G23" s="8">
        <v>38.85</v>
      </c>
      <c r="H23" s="9">
        <v>27.28</v>
      </c>
      <c r="I23" s="13">
        <v>15.14</v>
      </c>
      <c r="J23" s="11"/>
      <c r="K23" s="28">
        <f t="shared" si="1"/>
        <v>0</v>
      </c>
      <c r="L23" s="12">
        <f t="shared" si="2"/>
        <v>0</v>
      </c>
      <c r="M23" s="12">
        <f t="shared" si="3"/>
        <v>0</v>
      </c>
    </row>
    <row r="24" spans="1:14" x14ac:dyDescent="0.25">
      <c r="A24" s="5" t="s">
        <v>63</v>
      </c>
      <c r="B24" s="21" t="s">
        <v>64</v>
      </c>
      <c r="C24" s="6" t="s">
        <v>17</v>
      </c>
      <c r="D24" s="7" t="s">
        <v>22</v>
      </c>
      <c r="E24" s="7" t="s">
        <v>26</v>
      </c>
      <c r="F24" s="6" t="str">
        <f t="shared" si="0"/>
        <v>ICMS-ST</v>
      </c>
      <c r="G24" s="19">
        <v>29.49</v>
      </c>
      <c r="H24" s="9">
        <v>18.7</v>
      </c>
      <c r="I24" s="13">
        <v>10.85</v>
      </c>
      <c r="J24" s="11"/>
      <c r="K24" s="28">
        <f t="shared" si="1"/>
        <v>0</v>
      </c>
      <c r="L24" s="12">
        <f t="shared" si="2"/>
        <v>0</v>
      </c>
      <c r="M24" s="12">
        <f t="shared" si="3"/>
        <v>0</v>
      </c>
    </row>
    <row r="25" spans="1:14" x14ac:dyDescent="0.25">
      <c r="A25" s="5" t="s">
        <v>65</v>
      </c>
      <c r="B25" s="21" t="s">
        <v>64</v>
      </c>
      <c r="C25" s="6" t="s">
        <v>17</v>
      </c>
      <c r="D25" s="7" t="s">
        <v>22</v>
      </c>
      <c r="E25" s="7" t="s">
        <v>26</v>
      </c>
      <c r="F25" s="6" t="str">
        <f t="shared" si="0"/>
        <v>ICMS-ST</v>
      </c>
      <c r="G25" s="19">
        <v>29.49</v>
      </c>
      <c r="H25" s="9">
        <v>18.7</v>
      </c>
      <c r="I25" s="13">
        <v>10.85</v>
      </c>
      <c r="J25" s="11"/>
      <c r="K25" s="28">
        <f t="shared" si="1"/>
        <v>0</v>
      </c>
      <c r="L25" s="12">
        <f t="shared" si="2"/>
        <v>0</v>
      </c>
      <c r="M25" s="12">
        <f t="shared" si="3"/>
        <v>0</v>
      </c>
    </row>
    <row r="26" spans="1:14" x14ac:dyDescent="0.25">
      <c r="A26" s="5" t="s">
        <v>66</v>
      </c>
      <c r="B26" s="21" t="s">
        <v>67</v>
      </c>
      <c r="C26" s="6" t="s">
        <v>17</v>
      </c>
      <c r="D26" s="7" t="s">
        <v>22</v>
      </c>
      <c r="E26" s="7" t="s">
        <v>26</v>
      </c>
      <c r="F26" s="6" t="str">
        <f t="shared" si="0"/>
        <v>ICMS-ST</v>
      </c>
      <c r="G26" s="8">
        <v>38.85</v>
      </c>
      <c r="H26" s="9">
        <v>27.28</v>
      </c>
      <c r="I26" s="10">
        <v>15.14</v>
      </c>
      <c r="J26" s="11"/>
      <c r="K26" s="28">
        <f t="shared" si="1"/>
        <v>0</v>
      </c>
      <c r="L26" s="12">
        <f t="shared" si="2"/>
        <v>0</v>
      </c>
      <c r="M26" s="12">
        <f t="shared" si="3"/>
        <v>0</v>
      </c>
    </row>
    <row r="27" spans="1:14" x14ac:dyDescent="0.25">
      <c r="A27" s="5" t="s">
        <v>68</v>
      </c>
      <c r="B27" s="21" t="s">
        <v>69</v>
      </c>
      <c r="C27" s="6" t="s">
        <v>17</v>
      </c>
      <c r="D27" s="7" t="s">
        <v>22</v>
      </c>
      <c r="E27" s="7" t="s">
        <v>26</v>
      </c>
      <c r="F27" s="6" t="str">
        <f t="shared" si="0"/>
        <v>ICMS-ST</v>
      </c>
      <c r="G27" s="8">
        <v>36.340000000000003</v>
      </c>
      <c r="H27" s="9">
        <v>24.98</v>
      </c>
      <c r="I27" s="13">
        <v>13.99</v>
      </c>
      <c r="J27" s="11"/>
      <c r="K27" s="28">
        <f t="shared" si="1"/>
        <v>0</v>
      </c>
      <c r="L27" s="12">
        <f t="shared" si="2"/>
        <v>0</v>
      </c>
      <c r="M27" s="12">
        <f t="shared" si="3"/>
        <v>0</v>
      </c>
    </row>
    <row r="28" spans="1:14" x14ac:dyDescent="0.25">
      <c r="A28" s="5" t="s">
        <v>70</v>
      </c>
      <c r="B28" s="21" t="s">
        <v>71</v>
      </c>
      <c r="C28" s="6" t="s">
        <v>17</v>
      </c>
      <c r="D28" s="7" t="s">
        <v>22</v>
      </c>
      <c r="E28" s="7" t="s">
        <v>26</v>
      </c>
      <c r="F28" s="6" t="str">
        <f t="shared" si="0"/>
        <v>ICMS-ST</v>
      </c>
      <c r="G28" s="44"/>
      <c r="H28" s="45"/>
      <c r="I28" s="13">
        <v>1.5</v>
      </c>
      <c r="J28" s="11"/>
      <c r="K28" s="28">
        <f t="shared" si="1"/>
        <v>0</v>
      </c>
      <c r="L28" s="12">
        <f t="shared" si="2"/>
        <v>0</v>
      </c>
      <c r="M28" s="12">
        <f t="shared" si="3"/>
        <v>0</v>
      </c>
    </row>
    <row r="29" spans="1:14" x14ac:dyDescent="0.25">
      <c r="A29" s="20" t="s">
        <v>72</v>
      </c>
      <c r="B29" s="21" t="s">
        <v>73</v>
      </c>
      <c r="C29" s="6" t="s">
        <v>17</v>
      </c>
      <c r="D29" s="7" t="s">
        <v>22</v>
      </c>
      <c r="E29" s="7" t="s">
        <v>19</v>
      </c>
      <c r="F29" s="6" t="str">
        <f t="shared" si="0"/>
        <v>ICMS-ST</v>
      </c>
      <c r="G29" s="8">
        <v>34.72</v>
      </c>
      <c r="H29" s="9">
        <v>23.49</v>
      </c>
      <c r="I29" s="13">
        <v>13.244999999999999</v>
      </c>
      <c r="J29" s="11"/>
      <c r="K29" s="28">
        <f t="shared" si="1"/>
        <v>0</v>
      </c>
      <c r="L29" s="12">
        <f t="shared" si="2"/>
        <v>0</v>
      </c>
      <c r="M29" s="12">
        <f t="shared" si="3"/>
        <v>0</v>
      </c>
    </row>
    <row r="30" spans="1:14" x14ac:dyDescent="0.25">
      <c r="A30" s="5" t="s">
        <v>74</v>
      </c>
      <c r="B30" s="21" t="s">
        <v>75</v>
      </c>
      <c r="C30" s="6" t="s">
        <v>17</v>
      </c>
      <c r="D30" s="7" t="s">
        <v>22</v>
      </c>
      <c r="E30" s="7" t="s">
        <v>26</v>
      </c>
      <c r="F30" s="6" t="str">
        <f t="shared" si="0"/>
        <v>ICMS-ST</v>
      </c>
      <c r="G30" s="8">
        <v>31.25</v>
      </c>
      <c r="H30" s="9">
        <v>20.309999999999999</v>
      </c>
      <c r="I30" s="13">
        <v>11.654999999999999</v>
      </c>
      <c r="J30" s="11"/>
      <c r="K30" s="28">
        <f t="shared" si="1"/>
        <v>0</v>
      </c>
      <c r="L30" s="12">
        <f t="shared" si="2"/>
        <v>0</v>
      </c>
      <c r="M30" s="12">
        <f t="shared" si="3"/>
        <v>0</v>
      </c>
    </row>
    <row r="31" spans="1:14" x14ac:dyDescent="0.25">
      <c r="A31" s="21" t="s">
        <v>76</v>
      </c>
      <c r="B31" s="21" t="s">
        <v>57</v>
      </c>
      <c r="C31" s="6" t="s">
        <v>17</v>
      </c>
      <c r="D31" s="7" t="s">
        <v>22</v>
      </c>
      <c r="E31" s="7" t="s">
        <v>26</v>
      </c>
      <c r="F31" s="6" t="str">
        <f t="shared" si="0"/>
        <v>ICMS-ST</v>
      </c>
      <c r="G31" s="16">
        <v>36.619999999999997</v>
      </c>
      <c r="H31" s="17">
        <v>25.23</v>
      </c>
      <c r="I31" s="13">
        <v>14.115</v>
      </c>
      <c r="J31" s="11"/>
      <c r="K31" s="28">
        <f t="shared" si="1"/>
        <v>0</v>
      </c>
      <c r="L31" s="12">
        <f t="shared" si="2"/>
        <v>0</v>
      </c>
      <c r="M31" s="12">
        <f t="shared" si="3"/>
        <v>0</v>
      </c>
      <c r="N31" t="s">
        <v>23</v>
      </c>
    </row>
    <row r="32" spans="1:14" x14ac:dyDescent="0.25">
      <c r="A32" s="21" t="s">
        <v>77</v>
      </c>
      <c r="B32" s="21" t="s">
        <v>57</v>
      </c>
      <c r="C32" s="6" t="s">
        <v>17</v>
      </c>
      <c r="D32" s="7" t="s">
        <v>22</v>
      </c>
      <c r="E32" s="7" t="s">
        <v>26</v>
      </c>
      <c r="F32" s="6" t="str">
        <f t="shared" si="0"/>
        <v>ICMS-ST</v>
      </c>
      <c r="G32" s="16">
        <v>36.619999999999997</v>
      </c>
      <c r="H32" s="17">
        <v>25.23</v>
      </c>
      <c r="I32" s="13">
        <v>14.115</v>
      </c>
      <c r="J32" s="11"/>
      <c r="K32" s="28">
        <f t="shared" si="1"/>
        <v>0</v>
      </c>
      <c r="L32" s="12">
        <f t="shared" si="2"/>
        <v>0</v>
      </c>
      <c r="M32" s="12">
        <f t="shared" si="3"/>
        <v>0</v>
      </c>
      <c r="N32" t="s">
        <v>23</v>
      </c>
    </row>
    <row r="33" spans="1:14" ht="51.75" customHeight="1" x14ac:dyDescent="0.25">
      <c r="A33" s="22" t="s">
        <v>78</v>
      </c>
      <c r="B33" s="48" t="s">
        <v>57</v>
      </c>
      <c r="C33" s="37" t="s">
        <v>17</v>
      </c>
      <c r="D33" s="30" t="s">
        <v>18</v>
      </c>
      <c r="E33" s="30" t="s">
        <v>26</v>
      </c>
      <c r="F33" s="37" t="str">
        <f t="shared" si="0"/>
        <v>ICMS-ST</v>
      </c>
      <c r="G33" s="31">
        <v>36.619999999999997</v>
      </c>
      <c r="H33" s="32">
        <v>25.23</v>
      </c>
      <c r="I33" s="33">
        <v>14.115</v>
      </c>
      <c r="J33" s="34"/>
      <c r="K33" s="35">
        <f t="shared" si="1"/>
        <v>0</v>
      </c>
      <c r="L33" s="36">
        <f t="shared" si="2"/>
        <v>0</v>
      </c>
      <c r="M33" s="36">
        <f t="shared" si="3"/>
        <v>0</v>
      </c>
    </row>
    <row r="34" spans="1:14" x14ac:dyDescent="0.25">
      <c r="A34" s="5" t="s">
        <v>79</v>
      </c>
      <c r="B34" s="21" t="s">
        <v>80</v>
      </c>
      <c r="C34" s="6" t="s">
        <v>17</v>
      </c>
      <c r="D34" s="7" t="s">
        <v>22</v>
      </c>
      <c r="E34" s="7" t="s">
        <v>26</v>
      </c>
      <c r="F34" s="6" t="str">
        <f t="shared" si="0"/>
        <v>ICMS-ST</v>
      </c>
      <c r="G34" s="8">
        <v>37.25</v>
      </c>
      <c r="H34" s="9">
        <v>25.81</v>
      </c>
      <c r="I34" s="13">
        <v>14.404999999999999</v>
      </c>
      <c r="J34" s="11"/>
      <c r="K34" s="28">
        <f t="shared" si="1"/>
        <v>0</v>
      </c>
      <c r="L34" s="12">
        <f t="shared" si="2"/>
        <v>0</v>
      </c>
      <c r="M34" s="12">
        <f t="shared" si="3"/>
        <v>0</v>
      </c>
    </row>
    <row r="35" spans="1:14" x14ac:dyDescent="0.25">
      <c r="A35" s="23" t="s">
        <v>81</v>
      </c>
      <c r="B35" s="21" t="s">
        <v>82</v>
      </c>
      <c r="C35" s="6" t="s">
        <v>17</v>
      </c>
      <c r="D35" s="7" t="s">
        <v>22</v>
      </c>
      <c r="E35" s="7" t="s">
        <v>26</v>
      </c>
      <c r="F35" s="6" t="str">
        <f t="shared" si="0"/>
        <v>ICMS-ST</v>
      </c>
      <c r="G35" s="8">
        <v>29.88</v>
      </c>
      <c r="H35" s="9">
        <v>19.05</v>
      </c>
      <c r="I35" s="13">
        <v>11.025</v>
      </c>
      <c r="J35" s="11"/>
      <c r="K35" s="28">
        <f t="shared" si="1"/>
        <v>0</v>
      </c>
      <c r="L35" s="12">
        <f t="shared" si="2"/>
        <v>0</v>
      </c>
      <c r="M35" s="12">
        <f t="shared" si="3"/>
        <v>0</v>
      </c>
    </row>
    <row r="36" spans="1:14" x14ac:dyDescent="0.25">
      <c r="A36" s="5" t="s">
        <v>83</v>
      </c>
      <c r="B36" s="21" t="s">
        <v>84</v>
      </c>
      <c r="C36" s="6" t="s">
        <v>17</v>
      </c>
      <c r="D36" s="7" t="s">
        <v>22</v>
      </c>
      <c r="E36" s="7" t="s">
        <v>26</v>
      </c>
      <c r="F36" s="6" t="str">
        <f t="shared" si="0"/>
        <v>ICMS-ST</v>
      </c>
      <c r="G36" s="8">
        <v>36.340000000000003</v>
      </c>
      <c r="H36" s="9">
        <v>24.98</v>
      </c>
      <c r="I36" s="13">
        <v>13.99</v>
      </c>
      <c r="J36" s="11"/>
      <c r="K36" s="28">
        <f t="shared" si="1"/>
        <v>0</v>
      </c>
      <c r="L36" s="12">
        <f t="shared" si="2"/>
        <v>0</v>
      </c>
      <c r="M36" s="12">
        <f t="shared" si="3"/>
        <v>0</v>
      </c>
    </row>
    <row r="37" spans="1:14" x14ac:dyDescent="0.25">
      <c r="A37" s="5" t="s">
        <v>85</v>
      </c>
      <c r="B37" s="21" t="s">
        <v>86</v>
      </c>
      <c r="C37" s="6" t="s">
        <v>17</v>
      </c>
      <c r="D37" s="7" t="s">
        <v>22</v>
      </c>
      <c r="E37" s="7" t="s">
        <v>26</v>
      </c>
      <c r="F37" s="6" t="str">
        <f t="shared" si="0"/>
        <v>ICMS-ST</v>
      </c>
      <c r="G37" s="8">
        <v>30.51</v>
      </c>
      <c r="H37" s="9">
        <v>19.64</v>
      </c>
      <c r="I37" s="13">
        <v>11.32</v>
      </c>
      <c r="J37" s="11"/>
      <c r="K37" s="28">
        <f t="shared" si="1"/>
        <v>0</v>
      </c>
      <c r="L37" s="12">
        <f t="shared" si="2"/>
        <v>0</v>
      </c>
      <c r="M37" s="12">
        <f t="shared" si="3"/>
        <v>0</v>
      </c>
    </row>
    <row r="38" spans="1:14" x14ac:dyDescent="0.25">
      <c r="A38" s="5" t="s">
        <v>87</v>
      </c>
      <c r="B38" s="21" t="s">
        <v>88</v>
      </c>
      <c r="C38" s="6" t="s">
        <v>17</v>
      </c>
      <c r="D38" s="7" t="s">
        <v>22</v>
      </c>
      <c r="E38" s="7" t="s">
        <v>26</v>
      </c>
      <c r="F38" s="6" t="str">
        <f t="shared" si="0"/>
        <v>ICMS-ST</v>
      </c>
      <c r="G38" s="8">
        <v>35.1</v>
      </c>
      <c r="H38" s="9">
        <v>23.48</v>
      </c>
      <c r="I38" s="10">
        <v>13.24</v>
      </c>
      <c r="J38" s="11"/>
      <c r="K38" s="28">
        <f t="shared" si="1"/>
        <v>0</v>
      </c>
      <c r="L38" s="12">
        <f t="shared" si="2"/>
        <v>0</v>
      </c>
      <c r="M38" s="12">
        <f t="shared" si="3"/>
        <v>0</v>
      </c>
    </row>
    <row r="39" spans="1:14" x14ac:dyDescent="0.25">
      <c r="A39" s="5" t="s">
        <v>89</v>
      </c>
      <c r="B39" s="21" t="s">
        <v>90</v>
      </c>
      <c r="C39" s="6" t="s">
        <v>17</v>
      </c>
      <c r="D39" s="7" t="s">
        <v>22</v>
      </c>
      <c r="E39" s="7" t="s">
        <v>26</v>
      </c>
      <c r="F39" s="6" t="str">
        <f t="shared" si="0"/>
        <v>ICMS-ST</v>
      </c>
      <c r="G39" s="8">
        <v>38.24</v>
      </c>
      <c r="H39" s="9">
        <v>26.72</v>
      </c>
      <c r="I39" s="13">
        <v>14.86</v>
      </c>
      <c r="J39" s="11"/>
      <c r="K39" s="28">
        <f t="shared" si="1"/>
        <v>0</v>
      </c>
      <c r="L39" s="12">
        <f t="shared" si="2"/>
        <v>0</v>
      </c>
      <c r="M39" s="12">
        <f t="shared" si="3"/>
        <v>0</v>
      </c>
    </row>
    <row r="40" spans="1:14" x14ac:dyDescent="0.25">
      <c r="A40" s="5" t="s">
        <v>91</v>
      </c>
      <c r="B40" s="21" t="s">
        <v>92</v>
      </c>
      <c r="C40" s="6" t="s">
        <v>17</v>
      </c>
      <c r="D40" s="7" t="s">
        <v>22</v>
      </c>
      <c r="E40" s="7" t="s">
        <v>26</v>
      </c>
      <c r="F40" s="6" t="str">
        <f t="shared" si="0"/>
        <v>ICMS-ST</v>
      </c>
      <c r="G40" s="8">
        <v>19.84</v>
      </c>
      <c r="H40" s="9">
        <v>9.86</v>
      </c>
      <c r="I40" s="13">
        <v>6.43</v>
      </c>
      <c r="J40" s="11"/>
      <c r="K40" s="28">
        <f t="shared" si="1"/>
        <v>0</v>
      </c>
      <c r="L40" s="12">
        <f t="shared" si="2"/>
        <v>0</v>
      </c>
      <c r="M40" s="12">
        <f t="shared" si="3"/>
        <v>0</v>
      </c>
    </row>
    <row r="41" spans="1:14" x14ac:dyDescent="0.25">
      <c r="A41" s="5" t="s">
        <v>93</v>
      </c>
      <c r="B41" s="21" t="s">
        <v>94</v>
      </c>
      <c r="C41" s="6" t="s">
        <v>17</v>
      </c>
      <c r="D41" s="7" t="s">
        <v>22</v>
      </c>
      <c r="E41" s="7" t="s">
        <v>26</v>
      </c>
      <c r="F41" s="6" t="str">
        <f t="shared" si="0"/>
        <v>ICMS-ST</v>
      </c>
      <c r="G41" s="8">
        <v>21.34</v>
      </c>
      <c r="H41" s="9">
        <v>11.32</v>
      </c>
      <c r="I41" s="13">
        <v>7.16</v>
      </c>
      <c r="J41" s="11"/>
      <c r="K41" s="28">
        <f t="shared" si="1"/>
        <v>0</v>
      </c>
      <c r="L41" s="12">
        <f t="shared" si="2"/>
        <v>0</v>
      </c>
      <c r="M41" s="12">
        <f t="shared" si="3"/>
        <v>0</v>
      </c>
    </row>
    <row r="42" spans="1:14" x14ac:dyDescent="0.25">
      <c r="A42" s="5" t="s">
        <v>95</v>
      </c>
      <c r="B42" s="21" t="s">
        <v>64</v>
      </c>
      <c r="C42" s="6" t="s">
        <v>17</v>
      </c>
      <c r="D42" s="7" t="s">
        <v>22</v>
      </c>
      <c r="E42" s="7" t="s">
        <v>26</v>
      </c>
      <c r="F42" s="6" t="str">
        <f t="shared" si="0"/>
        <v>ICMS-ST</v>
      </c>
      <c r="G42" s="8">
        <v>34.19</v>
      </c>
      <c r="H42" s="9">
        <v>23.01</v>
      </c>
      <c r="I42" s="13">
        <v>13.005000000000001</v>
      </c>
      <c r="J42" s="11"/>
      <c r="K42" s="28">
        <f t="shared" si="1"/>
        <v>0</v>
      </c>
      <c r="L42" s="12">
        <f t="shared" si="2"/>
        <v>0</v>
      </c>
      <c r="M42" s="12">
        <f t="shared" si="3"/>
        <v>0</v>
      </c>
    </row>
    <row r="43" spans="1:14" x14ac:dyDescent="0.25">
      <c r="A43" s="5" t="s">
        <v>96</v>
      </c>
      <c r="B43" s="21" t="s">
        <v>64</v>
      </c>
      <c r="C43" s="6" t="s">
        <v>17</v>
      </c>
      <c r="D43" s="7" t="s">
        <v>22</v>
      </c>
      <c r="E43" s="7" t="s">
        <v>26</v>
      </c>
      <c r="F43" s="6" t="str">
        <f t="shared" si="0"/>
        <v>ICMS-ST</v>
      </c>
      <c r="G43" s="8"/>
      <c r="H43" s="9"/>
      <c r="I43" s="13">
        <v>1.5</v>
      </c>
      <c r="J43" s="11"/>
      <c r="K43" s="28">
        <f t="shared" si="1"/>
        <v>0</v>
      </c>
      <c r="L43" s="12">
        <f t="shared" si="2"/>
        <v>0</v>
      </c>
      <c r="M43" s="12">
        <f t="shared" si="3"/>
        <v>0</v>
      </c>
    </row>
    <row r="44" spans="1:14" x14ac:dyDescent="0.25">
      <c r="A44" s="5" t="s">
        <v>97</v>
      </c>
      <c r="B44" s="21" t="s">
        <v>98</v>
      </c>
      <c r="C44" s="6" t="s">
        <v>17</v>
      </c>
      <c r="D44" s="7" t="s">
        <v>22</v>
      </c>
      <c r="E44" s="7" t="s">
        <v>26</v>
      </c>
      <c r="F44" s="6" t="str">
        <f t="shared" si="0"/>
        <v>ICMS-ST</v>
      </c>
      <c r="G44" s="8">
        <v>21.37</v>
      </c>
      <c r="H44" s="9">
        <v>11.25</v>
      </c>
      <c r="I44" s="13">
        <v>7.125</v>
      </c>
      <c r="J44" s="11"/>
      <c r="K44" s="28">
        <f t="shared" si="1"/>
        <v>0</v>
      </c>
      <c r="L44" s="12">
        <f t="shared" si="2"/>
        <v>0</v>
      </c>
      <c r="M44" s="12">
        <f t="shared" si="3"/>
        <v>0</v>
      </c>
      <c r="N44" t="s">
        <v>23</v>
      </c>
    </row>
    <row r="45" spans="1:14" x14ac:dyDescent="0.25">
      <c r="A45" s="5" t="s">
        <v>99</v>
      </c>
      <c r="B45" s="21" t="s">
        <v>100</v>
      </c>
      <c r="C45" s="6" t="s">
        <v>17</v>
      </c>
      <c r="D45" s="7" t="s">
        <v>18</v>
      </c>
      <c r="E45" s="7" t="s">
        <v>26</v>
      </c>
      <c r="F45" s="6" t="str">
        <f t="shared" si="0"/>
        <v>ICMS-ST</v>
      </c>
      <c r="G45" s="8">
        <v>39.57</v>
      </c>
      <c r="H45" s="9">
        <v>27.94</v>
      </c>
      <c r="I45" s="13">
        <v>15.47</v>
      </c>
      <c r="J45" s="11"/>
      <c r="K45" s="28">
        <f t="shared" si="1"/>
        <v>0</v>
      </c>
      <c r="L45" s="12">
        <f t="shared" si="2"/>
        <v>0</v>
      </c>
      <c r="M45" s="12">
        <f t="shared" si="3"/>
        <v>0</v>
      </c>
    </row>
    <row r="46" spans="1:14" x14ac:dyDescent="0.25">
      <c r="A46" s="5" t="s">
        <v>101</v>
      </c>
      <c r="B46" s="21" t="s">
        <v>100</v>
      </c>
      <c r="C46" s="6" t="s">
        <v>17</v>
      </c>
      <c r="D46" s="7" t="s">
        <v>22</v>
      </c>
      <c r="E46" s="7" t="s">
        <v>26</v>
      </c>
      <c r="F46" s="6" t="str">
        <f t="shared" si="0"/>
        <v>ICMS-ST</v>
      </c>
      <c r="G46" s="8">
        <v>39.57</v>
      </c>
      <c r="H46" s="9">
        <v>27.94</v>
      </c>
      <c r="I46" s="13">
        <v>15.47</v>
      </c>
      <c r="J46" s="11"/>
      <c r="K46" s="28">
        <f t="shared" si="1"/>
        <v>0</v>
      </c>
      <c r="L46" s="12">
        <f t="shared" si="2"/>
        <v>0</v>
      </c>
      <c r="M46" s="12">
        <f t="shared" si="3"/>
        <v>0</v>
      </c>
    </row>
    <row r="47" spans="1:14" x14ac:dyDescent="0.25">
      <c r="A47" s="5" t="s">
        <v>102</v>
      </c>
      <c r="B47" s="21" t="s">
        <v>103</v>
      </c>
      <c r="C47" s="6" t="s">
        <v>17</v>
      </c>
      <c r="D47" s="7" t="s">
        <v>22</v>
      </c>
      <c r="E47" s="7" t="s">
        <v>26</v>
      </c>
      <c r="F47" s="6" t="str">
        <f t="shared" si="0"/>
        <v>ICMS-ST</v>
      </c>
      <c r="G47" s="8">
        <v>31.09</v>
      </c>
      <c r="H47" s="9">
        <v>20.16</v>
      </c>
      <c r="I47" s="13">
        <v>11.58</v>
      </c>
      <c r="J47" s="11"/>
      <c r="K47" s="28">
        <f t="shared" si="1"/>
        <v>0</v>
      </c>
      <c r="L47" s="12">
        <f t="shared" si="2"/>
        <v>0</v>
      </c>
      <c r="M47" s="12">
        <f t="shared" si="3"/>
        <v>0</v>
      </c>
    </row>
    <row r="48" spans="1:14" x14ac:dyDescent="0.25">
      <c r="A48" s="5" t="s">
        <v>104</v>
      </c>
      <c r="B48" s="21" t="s">
        <v>105</v>
      </c>
      <c r="C48" s="6" t="s">
        <v>17</v>
      </c>
      <c r="D48" s="7" t="s">
        <v>22</v>
      </c>
      <c r="E48" s="7" t="s">
        <v>26</v>
      </c>
      <c r="F48" s="6" t="str">
        <f t="shared" si="0"/>
        <v>ICMS-ST</v>
      </c>
      <c r="G48" s="8">
        <v>37.31</v>
      </c>
      <c r="H48" s="9">
        <v>25.87</v>
      </c>
      <c r="I48" s="13">
        <v>14.435</v>
      </c>
      <c r="J48" s="11"/>
      <c r="K48" s="28">
        <f t="shared" si="1"/>
        <v>0</v>
      </c>
      <c r="L48" s="12">
        <f t="shared" si="2"/>
        <v>0</v>
      </c>
      <c r="M48" s="12">
        <f t="shared" si="3"/>
        <v>0</v>
      </c>
    </row>
    <row r="49" spans="1:14" x14ac:dyDescent="0.25">
      <c r="A49" s="5" t="s">
        <v>106</v>
      </c>
      <c r="B49" s="21" t="s">
        <v>107</v>
      </c>
      <c r="C49" s="6" t="s">
        <v>17</v>
      </c>
      <c r="D49" s="7" t="s">
        <v>22</v>
      </c>
      <c r="E49" s="7" t="s">
        <v>26</v>
      </c>
      <c r="F49" s="6" t="str">
        <f t="shared" si="0"/>
        <v>ICMS-ST</v>
      </c>
      <c r="G49" s="8">
        <v>47.49</v>
      </c>
      <c r="H49" s="9">
        <v>35.200000000000003</v>
      </c>
      <c r="I49" s="13">
        <v>19.100000000000001</v>
      </c>
      <c r="J49" s="11"/>
      <c r="K49" s="28">
        <f t="shared" si="1"/>
        <v>0</v>
      </c>
      <c r="L49" s="12">
        <f t="shared" si="2"/>
        <v>0</v>
      </c>
      <c r="M49" s="12">
        <f t="shared" si="3"/>
        <v>0</v>
      </c>
    </row>
    <row r="50" spans="1:14" x14ac:dyDescent="0.25">
      <c r="A50" s="24" t="s">
        <v>108</v>
      </c>
      <c r="B50" s="49" t="s">
        <v>109</v>
      </c>
      <c r="C50" s="6" t="s">
        <v>17</v>
      </c>
      <c r="D50" s="7" t="s">
        <v>22</v>
      </c>
      <c r="E50" s="7" t="s">
        <v>26</v>
      </c>
      <c r="F50" s="6" t="str">
        <f t="shared" si="0"/>
        <v>ICMS-ST</v>
      </c>
      <c r="G50" s="13">
        <v>38.43</v>
      </c>
      <c r="H50" s="25">
        <v>26.9</v>
      </c>
      <c r="I50" s="10">
        <v>14.95</v>
      </c>
      <c r="J50" s="11"/>
      <c r="K50" s="28">
        <f t="shared" si="1"/>
        <v>0</v>
      </c>
      <c r="L50" s="12">
        <f t="shared" si="2"/>
        <v>0</v>
      </c>
      <c r="M50" s="12">
        <f t="shared" si="3"/>
        <v>0</v>
      </c>
    </row>
    <row r="51" spans="1:14" x14ac:dyDescent="0.25">
      <c r="A51" s="24" t="s">
        <v>110</v>
      </c>
      <c r="B51" s="49" t="s">
        <v>109</v>
      </c>
      <c r="C51" s="6" t="s">
        <v>17</v>
      </c>
      <c r="D51" s="7" t="s">
        <v>22</v>
      </c>
      <c r="E51" s="7" t="s">
        <v>26</v>
      </c>
      <c r="F51" s="6" t="str">
        <f t="shared" si="0"/>
        <v>ICMS-ST</v>
      </c>
      <c r="G51" s="13">
        <v>38.43</v>
      </c>
      <c r="H51" s="25">
        <v>26.9</v>
      </c>
      <c r="I51" s="13">
        <v>14.95</v>
      </c>
      <c r="J51" s="11"/>
      <c r="K51" s="28">
        <f t="shared" si="1"/>
        <v>0</v>
      </c>
      <c r="L51" s="12">
        <f t="shared" si="2"/>
        <v>0</v>
      </c>
      <c r="M51" s="12">
        <f t="shared" si="3"/>
        <v>0</v>
      </c>
    </row>
    <row r="52" spans="1:14" x14ac:dyDescent="0.25">
      <c r="A52" s="5" t="s">
        <v>111</v>
      </c>
      <c r="B52" s="21" t="s">
        <v>112</v>
      </c>
      <c r="C52" s="6" t="s">
        <v>17</v>
      </c>
      <c r="D52" s="7" t="s">
        <v>22</v>
      </c>
      <c r="E52" s="7" t="s">
        <v>26</v>
      </c>
      <c r="F52" s="6" t="str">
        <f t="shared" si="0"/>
        <v>ICMS-ST</v>
      </c>
      <c r="G52" s="8">
        <v>39.950000000000003</v>
      </c>
      <c r="H52" s="9">
        <v>28.29</v>
      </c>
      <c r="I52" s="13">
        <v>15.645</v>
      </c>
      <c r="J52" s="11"/>
      <c r="K52" s="28">
        <f t="shared" si="1"/>
        <v>0</v>
      </c>
      <c r="L52" s="12">
        <f t="shared" si="2"/>
        <v>0</v>
      </c>
      <c r="M52" s="12">
        <f t="shared" si="3"/>
        <v>0</v>
      </c>
    </row>
    <row r="53" spans="1:14" x14ac:dyDescent="0.25">
      <c r="A53" s="5" t="s">
        <v>113</v>
      </c>
      <c r="B53" s="21" t="s">
        <v>114</v>
      </c>
      <c r="C53" s="6" t="s">
        <v>17</v>
      </c>
      <c r="D53" s="7" t="s">
        <v>18</v>
      </c>
      <c r="E53" s="7" t="s">
        <v>26</v>
      </c>
      <c r="F53" s="6" t="str">
        <f t="shared" si="0"/>
        <v>ICMS-ST</v>
      </c>
      <c r="G53" s="8">
        <v>39.44</v>
      </c>
      <c r="H53" s="9">
        <v>27.82</v>
      </c>
      <c r="I53" s="13">
        <v>15.41</v>
      </c>
      <c r="J53" s="11"/>
      <c r="K53" s="28">
        <f t="shared" si="1"/>
        <v>0</v>
      </c>
      <c r="L53" s="12">
        <f t="shared" si="2"/>
        <v>0</v>
      </c>
      <c r="M53" s="12">
        <f t="shared" si="3"/>
        <v>0</v>
      </c>
      <c r="N53" t="s">
        <v>23</v>
      </c>
    </row>
    <row r="54" spans="1:14" x14ac:dyDescent="0.25">
      <c r="A54" s="5" t="s">
        <v>115</v>
      </c>
      <c r="B54" s="21" t="s">
        <v>116</v>
      </c>
      <c r="C54" s="6" t="s">
        <v>17</v>
      </c>
      <c r="D54" s="7" t="s">
        <v>22</v>
      </c>
      <c r="E54" s="7" t="s">
        <v>19</v>
      </c>
      <c r="F54" s="6" t="str">
        <f t="shared" si="0"/>
        <v>ICMS-ST</v>
      </c>
      <c r="G54" s="8">
        <v>37.49</v>
      </c>
      <c r="H54" s="9">
        <v>26.03</v>
      </c>
      <c r="I54" s="13">
        <v>14.515000000000001</v>
      </c>
      <c r="J54" s="11"/>
      <c r="K54" s="28">
        <f t="shared" si="1"/>
        <v>0</v>
      </c>
      <c r="L54" s="12">
        <f t="shared" si="2"/>
        <v>0</v>
      </c>
      <c r="M54" s="12">
        <f t="shared" si="3"/>
        <v>0</v>
      </c>
    </row>
    <row r="55" spans="1:14" x14ac:dyDescent="0.25">
      <c r="A55" s="5" t="s">
        <v>117</v>
      </c>
      <c r="B55" s="21" t="s">
        <v>118</v>
      </c>
      <c r="C55" s="6" t="s">
        <v>17</v>
      </c>
      <c r="D55" s="7" t="s">
        <v>22</v>
      </c>
      <c r="E55" s="7" t="s">
        <v>26</v>
      </c>
      <c r="F55" s="6" t="str">
        <f t="shared" si="0"/>
        <v>ICMS-ST</v>
      </c>
      <c r="G55" s="8">
        <v>31.09</v>
      </c>
      <c r="H55" s="9">
        <v>20.16</v>
      </c>
      <c r="I55" s="13">
        <v>11.58</v>
      </c>
      <c r="J55" s="11"/>
      <c r="K55" s="28">
        <f t="shared" si="1"/>
        <v>0</v>
      </c>
      <c r="L55" s="12">
        <f t="shared" si="2"/>
        <v>0</v>
      </c>
      <c r="M55" s="12">
        <f t="shared" si="3"/>
        <v>0</v>
      </c>
    </row>
    <row r="56" spans="1:14" x14ac:dyDescent="0.25">
      <c r="A56" s="5" t="s">
        <v>119</v>
      </c>
      <c r="B56" s="21" t="s">
        <v>120</v>
      </c>
      <c r="C56" s="6" t="s">
        <v>17</v>
      </c>
      <c r="D56" s="7" t="s">
        <v>18</v>
      </c>
      <c r="E56" s="7" t="s">
        <v>26</v>
      </c>
      <c r="F56" s="6" t="str">
        <f t="shared" si="0"/>
        <v>ICMS-ST</v>
      </c>
      <c r="G56" s="8">
        <v>16.899999999999999</v>
      </c>
      <c r="H56" s="9">
        <v>7.16</v>
      </c>
      <c r="I56" s="14">
        <v>5.08</v>
      </c>
      <c r="J56" s="11"/>
      <c r="K56" s="28">
        <f t="shared" si="1"/>
        <v>0</v>
      </c>
      <c r="L56" s="12">
        <f t="shared" si="2"/>
        <v>0</v>
      </c>
      <c r="M56" s="12">
        <f t="shared" si="3"/>
        <v>0</v>
      </c>
    </row>
    <row r="57" spans="1:14" x14ac:dyDescent="0.25">
      <c r="A57" s="5" t="s">
        <v>121</v>
      </c>
      <c r="B57" s="21" t="s">
        <v>122</v>
      </c>
      <c r="C57" s="6" t="s">
        <v>17</v>
      </c>
      <c r="D57" s="7" t="s">
        <v>22</v>
      </c>
      <c r="E57" s="7" t="s">
        <v>26</v>
      </c>
      <c r="F57" s="6" t="str">
        <f t="shared" si="0"/>
        <v>ICMS-ST</v>
      </c>
      <c r="G57" s="8">
        <v>37.119999999999997</v>
      </c>
      <c r="H57" s="9">
        <v>25.69</v>
      </c>
      <c r="I57" s="13">
        <v>14.345000000000001</v>
      </c>
      <c r="J57" s="11"/>
      <c r="K57" s="28">
        <f t="shared" si="1"/>
        <v>0</v>
      </c>
      <c r="L57" s="12">
        <f t="shared" si="2"/>
        <v>0</v>
      </c>
      <c r="M57" s="12">
        <f t="shared" si="3"/>
        <v>0</v>
      </c>
    </row>
    <row r="58" spans="1:14" x14ac:dyDescent="0.25">
      <c r="A58" s="5" t="s">
        <v>123</v>
      </c>
      <c r="B58" s="21" t="s">
        <v>124</v>
      </c>
      <c r="C58" s="6" t="s">
        <v>17</v>
      </c>
      <c r="D58" s="7" t="s">
        <v>22</v>
      </c>
      <c r="E58" s="7" t="s">
        <v>26</v>
      </c>
      <c r="F58" s="6" t="str">
        <f t="shared" si="0"/>
        <v>ICMS-ST</v>
      </c>
      <c r="G58" s="8">
        <v>37.69</v>
      </c>
      <c r="H58" s="9">
        <v>26.21</v>
      </c>
      <c r="I58" s="13">
        <v>14.605</v>
      </c>
      <c r="J58" s="11"/>
      <c r="K58" s="28">
        <f t="shared" si="1"/>
        <v>0</v>
      </c>
      <c r="L58" s="12">
        <f t="shared" si="2"/>
        <v>0</v>
      </c>
      <c r="M58" s="12">
        <f t="shared" si="3"/>
        <v>0</v>
      </c>
    </row>
    <row r="59" spans="1:14" x14ac:dyDescent="0.25">
      <c r="A59" s="5" t="s">
        <v>125</v>
      </c>
      <c r="B59" s="21" t="s">
        <v>126</v>
      </c>
      <c r="C59" s="6" t="s">
        <v>17</v>
      </c>
      <c r="D59" s="7" t="s">
        <v>22</v>
      </c>
      <c r="E59" s="7" t="s">
        <v>26</v>
      </c>
      <c r="F59" s="6" t="str">
        <f t="shared" si="0"/>
        <v>ICMS-ST</v>
      </c>
      <c r="G59" s="8">
        <v>32.020000000000003</v>
      </c>
      <c r="H59" s="9">
        <v>21.02</v>
      </c>
      <c r="I59" s="13">
        <v>12.01</v>
      </c>
      <c r="J59" s="11"/>
      <c r="K59" s="28">
        <f t="shared" si="1"/>
        <v>0</v>
      </c>
      <c r="L59" s="12">
        <f t="shared" si="2"/>
        <v>0</v>
      </c>
      <c r="M59" s="12">
        <f t="shared" si="3"/>
        <v>0</v>
      </c>
    </row>
    <row r="60" spans="1:14" x14ac:dyDescent="0.25">
      <c r="A60" s="6" t="s">
        <v>127</v>
      </c>
      <c r="B60" s="21" t="s">
        <v>128</v>
      </c>
      <c r="C60" s="6" t="s">
        <v>17</v>
      </c>
      <c r="D60" s="7" t="s">
        <v>22</v>
      </c>
      <c r="E60" s="7" t="s">
        <v>26</v>
      </c>
      <c r="F60" s="6" t="str">
        <f t="shared" si="0"/>
        <v>ICMS-ST</v>
      </c>
      <c r="G60" s="38">
        <v>32.020000000000003</v>
      </c>
      <c r="H60" s="39">
        <v>19.2</v>
      </c>
      <c r="I60" s="13">
        <v>11.1</v>
      </c>
      <c r="J60" s="11"/>
      <c r="K60" s="28">
        <f t="shared" si="1"/>
        <v>0</v>
      </c>
      <c r="L60" s="12">
        <f t="shared" si="2"/>
        <v>0</v>
      </c>
      <c r="M60" s="12">
        <f t="shared" si="3"/>
        <v>0</v>
      </c>
    </row>
    <row r="61" spans="1:14" x14ac:dyDescent="0.25">
      <c r="A61" s="6" t="s">
        <v>129</v>
      </c>
      <c r="B61" s="50" t="s">
        <v>130</v>
      </c>
      <c r="C61" s="6" t="s">
        <v>17</v>
      </c>
      <c r="D61" s="7" t="s">
        <v>18</v>
      </c>
      <c r="E61" s="7" t="s">
        <v>19</v>
      </c>
      <c r="F61" s="6" t="str">
        <f t="shared" si="0"/>
        <v>ICMS-ST</v>
      </c>
      <c r="G61" s="38">
        <v>32</v>
      </c>
      <c r="H61" s="39">
        <v>17</v>
      </c>
      <c r="I61" s="13">
        <v>10</v>
      </c>
      <c r="J61" s="11"/>
      <c r="K61" s="28">
        <f t="shared" si="1"/>
        <v>0</v>
      </c>
      <c r="L61" s="12">
        <f t="shared" si="2"/>
        <v>0</v>
      </c>
      <c r="M61" s="12">
        <f t="shared" si="3"/>
        <v>0</v>
      </c>
    </row>
    <row r="62" spans="1:14" x14ac:dyDescent="0.25">
      <c r="A62" s="6" t="s">
        <v>131</v>
      </c>
      <c r="B62" s="50" t="s">
        <v>132</v>
      </c>
      <c r="C62" s="6" t="s">
        <v>17</v>
      </c>
      <c r="D62" s="7" t="s">
        <v>18</v>
      </c>
      <c r="E62" s="7" t="s">
        <v>26</v>
      </c>
      <c r="F62" s="6" t="str">
        <f t="shared" si="0"/>
        <v>ICMS-ST</v>
      </c>
      <c r="G62" s="38">
        <v>12</v>
      </c>
      <c r="H62" s="39">
        <v>9.5</v>
      </c>
      <c r="I62" s="10">
        <v>6.25</v>
      </c>
      <c r="J62" s="11"/>
      <c r="K62" s="28">
        <f t="shared" si="1"/>
        <v>0</v>
      </c>
      <c r="L62" s="12">
        <f t="shared" si="2"/>
        <v>0</v>
      </c>
      <c r="M62" s="12">
        <f t="shared" si="3"/>
        <v>0</v>
      </c>
    </row>
    <row r="63" spans="1:14" x14ac:dyDescent="0.25">
      <c r="A63" s="26" t="s">
        <v>133</v>
      </c>
      <c r="B63" s="48" t="s">
        <v>53</v>
      </c>
      <c r="C63" t="s">
        <v>134</v>
      </c>
      <c r="D63" s="7" t="s">
        <v>22</v>
      </c>
      <c r="E63" s="7" t="s">
        <v>19</v>
      </c>
      <c r="F63" s="6" t="str">
        <f t="shared" si="0"/>
        <v>DIFAL</v>
      </c>
      <c r="G63" s="40">
        <v>18</v>
      </c>
      <c r="H63" s="41">
        <v>10</v>
      </c>
      <c r="I63" s="41">
        <v>0</v>
      </c>
      <c r="J63">
        <v>100</v>
      </c>
      <c r="K63" s="28">
        <f t="shared" si="1"/>
        <v>18</v>
      </c>
      <c r="L63" s="12">
        <f t="shared" si="2"/>
        <v>0</v>
      </c>
      <c r="M63" s="12">
        <f t="shared" si="3"/>
        <v>118</v>
      </c>
    </row>
    <row r="64" spans="1:14" x14ac:dyDescent="0.25">
      <c r="A64" s="6" t="s">
        <v>135</v>
      </c>
      <c r="B64" s="50" t="s">
        <v>136</v>
      </c>
      <c r="C64" s="6" t="s">
        <v>134</v>
      </c>
      <c r="D64" s="7" t="s">
        <v>22</v>
      </c>
      <c r="E64" s="7" t="s">
        <v>26</v>
      </c>
      <c r="F64" s="6" t="str">
        <f t="shared" si="0"/>
        <v>DIFAL</v>
      </c>
      <c r="G64" s="38">
        <v>18</v>
      </c>
      <c r="H64" s="42">
        <v>10</v>
      </c>
      <c r="I64" s="42">
        <v>0</v>
      </c>
      <c r="J64" s="11"/>
      <c r="K64" s="28">
        <f t="shared" si="1"/>
        <v>0</v>
      </c>
      <c r="L64" s="12">
        <f t="shared" si="2"/>
        <v>0</v>
      </c>
      <c r="M64" s="12">
        <f t="shared" si="3"/>
        <v>0</v>
      </c>
    </row>
    <row r="65" spans="1:13" x14ac:dyDescent="0.25">
      <c r="A65" s="6" t="s">
        <v>137</v>
      </c>
      <c r="B65" s="50" t="s">
        <v>138</v>
      </c>
      <c r="C65" s="6" t="s">
        <v>134</v>
      </c>
      <c r="D65" s="7" t="s">
        <v>18</v>
      </c>
      <c r="E65" s="7" t="s">
        <v>26</v>
      </c>
      <c r="F65" s="6" t="str">
        <f t="shared" si="0"/>
        <v>DIFAL</v>
      </c>
      <c r="G65" s="38">
        <v>18</v>
      </c>
      <c r="H65" s="42">
        <v>10</v>
      </c>
      <c r="I65" s="42">
        <v>0</v>
      </c>
      <c r="J65" s="11"/>
      <c r="K65" s="28">
        <f t="shared" si="1"/>
        <v>0</v>
      </c>
      <c r="L65" s="12">
        <f t="shared" si="2"/>
        <v>0</v>
      </c>
      <c r="M65" s="12">
        <f t="shared" si="3"/>
        <v>0</v>
      </c>
    </row>
    <row r="66" spans="1:13" x14ac:dyDescent="0.25">
      <c r="A66" s="6" t="s">
        <v>139</v>
      </c>
      <c r="B66" s="50" t="s">
        <v>140</v>
      </c>
      <c r="C66" s="6" t="s">
        <v>134</v>
      </c>
      <c r="D66" s="7" t="s">
        <v>18</v>
      </c>
      <c r="E66" s="7" t="s">
        <v>26</v>
      </c>
      <c r="F66" s="6" t="str">
        <f t="shared" ref="F66:F129" si="4">IF(C66="C/ST","ICMS-ST","DIFAL")</f>
        <v>DIFAL</v>
      </c>
      <c r="G66" s="38">
        <v>18</v>
      </c>
      <c r="H66" s="42">
        <v>10</v>
      </c>
      <c r="I66" s="42">
        <v>0</v>
      </c>
      <c r="J66" s="11"/>
      <c r="K66" s="28">
        <f t="shared" ref="K66:K129" si="5">IF(D66="EXTERNA",IF(C66="C/ST",IF(E66="IMPORTADA",J66*G66%,J66*H66%),IF(E66="NACIONAL",J66*H66%,J66*G66%)),0)</f>
        <v>0</v>
      </c>
      <c r="L66" s="12">
        <f t="shared" ref="L66:L129" si="6">IF(AND(C66="C/ST",F66="ICMS-ST", D66="INTERNA"),(J66*I66%),0)</f>
        <v>0</v>
      </c>
      <c r="M66" s="12">
        <f t="shared" ref="M66:M129" si="7">J66+K66+L66</f>
        <v>0</v>
      </c>
    </row>
    <row r="67" spans="1:13" x14ac:dyDescent="0.25">
      <c r="A67" s="6" t="s">
        <v>141</v>
      </c>
      <c r="B67" s="50" t="s">
        <v>142</v>
      </c>
      <c r="C67" s="6" t="s">
        <v>134</v>
      </c>
      <c r="D67" s="7" t="s">
        <v>18</v>
      </c>
      <c r="E67" s="7" t="s">
        <v>26</v>
      </c>
      <c r="F67" s="6" t="str">
        <f t="shared" si="4"/>
        <v>DIFAL</v>
      </c>
      <c r="G67" s="38">
        <v>18</v>
      </c>
      <c r="H67" s="42">
        <v>10</v>
      </c>
      <c r="I67" s="42">
        <v>0</v>
      </c>
      <c r="J67" s="11"/>
      <c r="K67" s="28">
        <f t="shared" si="5"/>
        <v>0</v>
      </c>
      <c r="L67" s="12">
        <f t="shared" si="6"/>
        <v>0</v>
      </c>
      <c r="M67" s="12">
        <f t="shared" si="7"/>
        <v>0</v>
      </c>
    </row>
    <row r="68" spans="1:13" x14ac:dyDescent="0.25">
      <c r="A68" s="6" t="s">
        <v>143</v>
      </c>
      <c r="B68" s="50" t="s">
        <v>144</v>
      </c>
      <c r="C68" s="6" t="s">
        <v>134</v>
      </c>
      <c r="D68" s="7" t="s">
        <v>18</v>
      </c>
      <c r="E68" s="7" t="s">
        <v>26</v>
      </c>
      <c r="F68" s="6" t="str">
        <f t="shared" si="4"/>
        <v>DIFAL</v>
      </c>
      <c r="G68" s="38">
        <v>18</v>
      </c>
      <c r="H68" s="42">
        <v>10</v>
      </c>
      <c r="I68" s="42">
        <v>0</v>
      </c>
      <c r="J68" s="11"/>
      <c r="K68" s="28">
        <f t="shared" si="5"/>
        <v>0</v>
      </c>
      <c r="L68" s="12">
        <f t="shared" si="6"/>
        <v>0</v>
      </c>
      <c r="M68" s="12">
        <f t="shared" si="7"/>
        <v>0</v>
      </c>
    </row>
    <row r="69" spans="1:13" x14ac:dyDescent="0.25">
      <c r="A69" s="6" t="s">
        <v>145</v>
      </c>
      <c r="B69" s="50" t="s">
        <v>146</v>
      </c>
      <c r="C69" s="6" t="s">
        <v>134</v>
      </c>
      <c r="D69" s="7" t="s">
        <v>18</v>
      </c>
      <c r="E69" s="7" t="s">
        <v>26</v>
      </c>
      <c r="F69" s="6" t="str">
        <f t="shared" si="4"/>
        <v>DIFAL</v>
      </c>
      <c r="G69" s="38">
        <v>18</v>
      </c>
      <c r="H69" s="42">
        <v>10</v>
      </c>
      <c r="I69" s="42">
        <v>0</v>
      </c>
      <c r="J69" s="11"/>
      <c r="K69" s="28">
        <f t="shared" si="5"/>
        <v>0</v>
      </c>
      <c r="L69" s="12">
        <f t="shared" si="6"/>
        <v>0</v>
      </c>
      <c r="M69" s="12">
        <f t="shared" si="7"/>
        <v>0</v>
      </c>
    </row>
    <row r="70" spans="1:13" x14ac:dyDescent="0.25">
      <c r="A70" s="6" t="s">
        <v>147</v>
      </c>
      <c r="B70" s="50" t="s">
        <v>148</v>
      </c>
      <c r="C70" s="6" t="s">
        <v>134</v>
      </c>
      <c r="D70" s="7" t="s">
        <v>22</v>
      </c>
      <c r="E70" s="7" t="s">
        <v>19</v>
      </c>
      <c r="F70" s="6" t="str">
        <f t="shared" si="4"/>
        <v>DIFAL</v>
      </c>
      <c r="G70" s="38">
        <v>18</v>
      </c>
      <c r="H70" s="42">
        <v>10</v>
      </c>
      <c r="I70" s="42">
        <v>0</v>
      </c>
      <c r="J70" s="11"/>
      <c r="K70" s="28">
        <f t="shared" si="5"/>
        <v>0</v>
      </c>
      <c r="L70" s="12">
        <f t="shared" si="6"/>
        <v>0</v>
      </c>
      <c r="M70" s="12">
        <f t="shared" si="7"/>
        <v>0</v>
      </c>
    </row>
    <row r="71" spans="1:13" x14ac:dyDescent="0.25">
      <c r="A71" s="6" t="s">
        <v>149</v>
      </c>
      <c r="B71" s="50" t="s">
        <v>150</v>
      </c>
      <c r="C71" s="6" t="s">
        <v>134</v>
      </c>
      <c r="D71" s="7" t="s">
        <v>18</v>
      </c>
      <c r="E71" s="7" t="s">
        <v>26</v>
      </c>
      <c r="F71" s="6" t="str">
        <f t="shared" si="4"/>
        <v>DIFAL</v>
      </c>
      <c r="G71" s="38">
        <v>18</v>
      </c>
      <c r="H71" s="42">
        <v>10</v>
      </c>
      <c r="I71" s="42">
        <v>0</v>
      </c>
      <c r="J71" s="11"/>
      <c r="K71" s="28">
        <f t="shared" si="5"/>
        <v>0</v>
      </c>
      <c r="L71" s="12">
        <f t="shared" si="6"/>
        <v>0</v>
      </c>
      <c r="M71" s="12">
        <f t="shared" si="7"/>
        <v>0</v>
      </c>
    </row>
    <row r="72" spans="1:13" x14ac:dyDescent="0.25">
      <c r="A72" s="6" t="s">
        <v>151</v>
      </c>
      <c r="B72" s="50" t="s">
        <v>152</v>
      </c>
      <c r="C72" s="6" t="s">
        <v>134</v>
      </c>
      <c r="D72" s="7" t="s">
        <v>18</v>
      </c>
      <c r="E72" s="7" t="s">
        <v>26</v>
      </c>
      <c r="F72" s="6" t="str">
        <f t="shared" si="4"/>
        <v>DIFAL</v>
      </c>
      <c r="G72" s="38">
        <v>18</v>
      </c>
      <c r="H72" s="42">
        <v>10</v>
      </c>
      <c r="I72" s="42">
        <v>0</v>
      </c>
      <c r="J72" s="11"/>
      <c r="K72" s="28">
        <f t="shared" si="5"/>
        <v>0</v>
      </c>
      <c r="L72" s="12">
        <f t="shared" si="6"/>
        <v>0</v>
      </c>
      <c r="M72" s="12">
        <f t="shared" si="7"/>
        <v>0</v>
      </c>
    </row>
    <row r="73" spans="1:13" x14ac:dyDescent="0.25">
      <c r="A73" s="6" t="s">
        <v>153</v>
      </c>
      <c r="B73" s="50" t="s">
        <v>154</v>
      </c>
      <c r="C73" s="6" t="s">
        <v>134</v>
      </c>
      <c r="D73" s="7" t="s">
        <v>18</v>
      </c>
      <c r="E73" s="7" t="s">
        <v>26</v>
      </c>
      <c r="F73" s="6" t="str">
        <f t="shared" si="4"/>
        <v>DIFAL</v>
      </c>
      <c r="G73" s="38">
        <v>18</v>
      </c>
      <c r="H73" s="42">
        <v>10</v>
      </c>
      <c r="I73" s="42">
        <v>0</v>
      </c>
      <c r="J73" s="11"/>
      <c r="K73" s="28">
        <f t="shared" si="5"/>
        <v>0</v>
      </c>
      <c r="L73" s="12">
        <f t="shared" si="6"/>
        <v>0</v>
      </c>
      <c r="M73" s="12">
        <f t="shared" si="7"/>
        <v>0</v>
      </c>
    </row>
    <row r="74" spans="1:13" x14ac:dyDescent="0.25">
      <c r="A74" s="6" t="s">
        <v>155</v>
      </c>
      <c r="B74" s="50" t="s">
        <v>156</v>
      </c>
      <c r="C74" s="6" t="s">
        <v>134</v>
      </c>
      <c r="D74" s="7" t="s">
        <v>18</v>
      </c>
      <c r="E74" s="7" t="s">
        <v>26</v>
      </c>
      <c r="F74" s="6" t="str">
        <f t="shared" si="4"/>
        <v>DIFAL</v>
      </c>
      <c r="G74" s="38">
        <v>18</v>
      </c>
      <c r="H74" s="42">
        <v>10</v>
      </c>
      <c r="I74" s="42">
        <v>0</v>
      </c>
      <c r="J74" s="11"/>
      <c r="K74" s="28">
        <f t="shared" si="5"/>
        <v>0</v>
      </c>
      <c r="L74" s="12">
        <f t="shared" si="6"/>
        <v>0</v>
      </c>
      <c r="M74" s="12">
        <f t="shared" si="7"/>
        <v>0</v>
      </c>
    </row>
    <row r="75" spans="1:13" x14ac:dyDescent="0.25">
      <c r="A75" s="6" t="s">
        <v>157</v>
      </c>
      <c r="B75" s="50" t="s">
        <v>158</v>
      </c>
      <c r="C75" s="6" t="s">
        <v>134</v>
      </c>
      <c r="D75" s="7" t="s">
        <v>18</v>
      </c>
      <c r="E75" s="7" t="s">
        <v>26</v>
      </c>
      <c r="F75" s="6" t="str">
        <f t="shared" si="4"/>
        <v>DIFAL</v>
      </c>
      <c r="G75" s="38">
        <v>18</v>
      </c>
      <c r="H75" s="42">
        <v>10</v>
      </c>
      <c r="I75" s="42">
        <v>0</v>
      </c>
      <c r="J75" s="11"/>
      <c r="K75" s="28">
        <f t="shared" si="5"/>
        <v>0</v>
      </c>
      <c r="L75" s="12">
        <f t="shared" si="6"/>
        <v>0</v>
      </c>
      <c r="M75" s="12">
        <f t="shared" si="7"/>
        <v>0</v>
      </c>
    </row>
    <row r="76" spans="1:13" x14ac:dyDescent="0.25">
      <c r="A76" s="6" t="s">
        <v>159</v>
      </c>
      <c r="B76" s="50" t="s">
        <v>160</v>
      </c>
      <c r="C76" s="6" t="s">
        <v>134</v>
      </c>
      <c r="D76" s="7" t="s">
        <v>18</v>
      </c>
      <c r="E76" s="7" t="s">
        <v>26</v>
      </c>
      <c r="F76" s="6" t="str">
        <f t="shared" si="4"/>
        <v>DIFAL</v>
      </c>
      <c r="G76" s="38">
        <v>18</v>
      </c>
      <c r="H76" s="42">
        <v>10</v>
      </c>
      <c r="I76" s="42">
        <v>0</v>
      </c>
      <c r="J76" s="11"/>
      <c r="K76" s="28">
        <f t="shared" si="5"/>
        <v>0</v>
      </c>
      <c r="L76" s="12">
        <f t="shared" si="6"/>
        <v>0</v>
      </c>
      <c r="M76" s="12">
        <f t="shared" si="7"/>
        <v>0</v>
      </c>
    </row>
    <row r="77" spans="1:13" x14ac:dyDescent="0.25">
      <c r="A77" s="6" t="s">
        <v>161</v>
      </c>
      <c r="B77" s="50" t="s">
        <v>162</v>
      </c>
      <c r="C77" s="6" t="s">
        <v>134</v>
      </c>
      <c r="D77" s="7" t="s">
        <v>18</v>
      </c>
      <c r="E77" s="7" t="s">
        <v>26</v>
      </c>
      <c r="F77" s="6" t="str">
        <f t="shared" si="4"/>
        <v>DIFAL</v>
      </c>
      <c r="G77" s="38">
        <v>18</v>
      </c>
      <c r="H77" s="42">
        <v>10</v>
      </c>
      <c r="I77" s="42">
        <v>0</v>
      </c>
      <c r="J77" s="11"/>
      <c r="K77" s="28">
        <f t="shared" si="5"/>
        <v>0</v>
      </c>
      <c r="L77" s="12">
        <f t="shared" si="6"/>
        <v>0</v>
      </c>
      <c r="M77" s="12">
        <f t="shared" si="7"/>
        <v>0</v>
      </c>
    </row>
    <row r="78" spans="1:13" x14ac:dyDescent="0.25">
      <c r="A78" s="6" t="s">
        <v>163</v>
      </c>
      <c r="B78" s="50" t="s">
        <v>164</v>
      </c>
      <c r="C78" s="6" t="s">
        <v>134</v>
      </c>
      <c r="D78" s="7" t="s">
        <v>18</v>
      </c>
      <c r="E78" s="7" t="s">
        <v>26</v>
      </c>
      <c r="F78" s="6" t="str">
        <f t="shared" si="4"/>
        <v>DIFAL</v>
      </c>
      <c r="G78" s="38">
        <v>18</v>
      </c>
      <c r="H78" s="42">
        <v>10</v>
      </c>
      <c r="I78" s="42">
        <v>0</v>
      </c>
      <c r="J78" s="11"/>
      <c r="K78" s="28">
        <f t="shared" si="5"/>
        <v>0</v>
      </c>
      <c r="L78" s="12">
        <f t="shared" si="6"/>
        <v>0</v>
      </c>
      <c r="M78" s="12">
        <f t="shared" si="7"/>
        <v>0</v>
      </c>
    </row>
    <row r="79" spans="1:13" x14ac:dyDescent="0.25">
      <c r="A79" s="6" t="s">
        <v>165</v>
      </c>
      <c r="B79" s="50" t="s">
        <v>166</v>
      </c>
      <c r="C79" s="6" t="s">
        <v>134</v>
      </c>
      <c r="D79" s="7" t="s">
        <v>18</v>
      </c>
      <c r="E79" s="7" t="s">
        <v>26</v>
      </c>
      <c r="F79" s="6" t="str">
        <f t="shared" si="4"/>
        <v>DIFAL</v>
      </c>
      <c r="G79" s="38">
        <v>18</v>
      </c>
      <c r="H79" s="42">
        <v>10</v>
      </c>
      <c r="I79" s="42">
        <v>0</v>
      </c>
      <c r="J79" s="11"/>
      <c r="K79" s="28">
        <f t="shared" si="5"/>
        <v>0</v>
      </c>
      <c r="L79" s="12">
        <f t="shared" si="6"/>
        <v>0</v>
      </c>
      <c r="M79" s="12">
        <f t="shared" si="7"/>
        <v>0</v>
      </c>
    </row>
    <row r="80" spans="1:13" x14ac:dyDescent="0.25">
      <c r="A80" s="6" t="s">
        <v>167</v>
      </c>
      <c r="B80" s="50" t="s">
        <v>168</v>
      </c>
      <c r="C80" s="6" t="s">
        <v>134</v>
      </c>
      <c r="D80" s="7" t="s">
        <v>18</v>
      </c>
      <c r="E80" s="7" t="s">
        <v>26</v>
      </c>
      <c r="F80" s="6" t="str">
        <f t="shared" si="4"/>
        <v>DIFAL</v>
      </c>
      <c r="G80" s="38">
        <v>18</v>
      </c>
      <c r="H80" s="42">
        <v>10</v>
      </c>
      <c r="I80" s="42">
        <v>0</v>
      </c>
      <c r="J80" s="11"/>
      <c r="K80" s="28">
        <f t="shared" si="5"/>
        <v>0</v>
      </c>
      <c r="L80" s="12">
        <f t="shared" si="6"/>
        <v>0</v>
      </c>
      <c r="M80" s="12">
        <f t="shared" si="7"/>
        <v>0</v>
      </c>
    </row>
    <row r="81" spans="1:14" x14ac:dyDescent="0.25">
      <c r="A81" s="6" t="s">
        <v>169</v>
      </c>
      <c r="B81" s="50" t="s">
        <v>170</v>
      </c>
      <c r="C81" s="6" t="s">
        <v>134</v>
      </c>
      <c r="D81" s="7" t="s">
        <v>18</v>
      </c>
      <c r="E81" s="7" t="s">
        <v>26</v>
      </c>
      <c r="F81" s="6" t="str">
        <f t="shared" si="4"/>
        <v>DIFAL</v>
      </c>
      <c r="G81" s="38">
        <v>18</v>
      </c>
      <c r="H81" s="42">
        <v>10</v>
      </c>
      <c r="I81" s="42">
        <v>0</v>
      </c>
      <c r="J81" s="11"/>
      <c r="K81" s="28">
        <f t="shared" si="5"/>
        <v>0</v>
      </c>
      <c r="L81" s="12">
        <f t="shared" si="6"/>
        <v>0</v>
      </c>
      <c r="M81" s="12">
        <f t="shared" si="7"/>
        <v>0</v>
      </c>
    </row>
    <row r="82" spans="1:14" x14ac:dyDescent="0.25">
      <c r="A82" s="6" t="s">
        <v>171</v>
      </c>
      <c r="B82" s="50" t="s">
        <v>172</v>
      </c>
      <c r="C82" s="6" t="s">
        <v>134</v>
      </c>
      <c r="D82" s="7" t="s">
        <v>18</v>
      </c>
      <c r="E82" s="7" t="s">
        <v>26</v>
      </c>
      <c r="F82" s="6" t="str">
        <f t="shared" si="4"/>
        <v>DIFAL</v>
      </c>
      <c r="G82" s="38">
        <v>18</v>
      </c>
      <c r="H82" s="42">
        <v>10</v>
      </c>
      <c r="I82" s="42">
        <v>0</v>
      </c>
      <c r="J82" s="11"/>
      <c r="K82" s="28">
        <f t="shared" si="5"/>
        <v>0</v>
      </c>
      <c r="L82" s="12">
        <f t="shared" si="6"/>
        <v>0</v>
      </c>
      <c r="M82" s="12">
        <f t="shared" si="7"/>
        <v>0</v>
      </c>
    </row>
    <row r="83" spans="1:14" x14ac:dyDescent="0.25">
      <c r="A83" s="6" t="s">
        <v>173</v>
      </c>
      <c r="B83" s="50" t="s">
        <v>174</v>
      </c>
      <c r="C83" s="6" t="s">
        <v>134</v>
      </c>
      <c r="D83" s="7" t="s">
        <v>18</v>
      </c>
      <c r="E83" s="7" t="s">
        <v>26</v>
      </c>
      <c r="F83" s="6" t="str">
        <f t="shared" si="4"/>
        <v>DIFAL</v>
      </c>
      <c r="G83" s="38">
        <v>18</v>
      </c>
      <c r="H83" s="42">
        <v>10</v>
      </c>
      <c r="I83" s="42">
        <v>0</v>
      </c>
      <c r="J83" s="11"/>
      <c r="K83" s="28">
        <f t="shared" si="5"/>
        <v>0</v>
      </c>
      <c r="L83" s="12">
        <f t="shared" si="6"/>
        <v>0</v>
      </c>
      <c r="M83" s="12">
        <f t="shared" si="7"/>
        <v>0</v>
      </c>
    </row>
    <row r="84" spans="1:14" x14ac:dyDescent="0.25">
      <c r="A84" s="6" t="s">
        <v>175</v>
      </c>
      <c r="B84" s="50" t="s">
        <v>176</v>
      </c>
      <c r="C84" s="6" t="s">
        <v>134</v>
      </c>
      <c r="D84" s="7" t="s">
        <v>18</v>
      </c>
      <c r="E84" s="7" t="s">
        <v>26</v>
      </c>
      <c r="F84" s="6" t="str">
        <f t="shared" si="4"/>
        <v>DIFAL</v>
      </c>
      <c r="G84" s="38">
        <v>18</v>
      </c>
      <c r="H84" s="42">
        <v>10</v>
      </c>
      <c r="I84" s="42">
        <v>0</v>
      </c>
      <c r="J84" s="11"/>
      <c r="K84" s="28">
        <f t="shared" si="5"/>
        <v>0</v>
      </c>
      <c r="L84" s="12">
        <f t="shared" si="6"/>
        <v>0</v>
      </c>
      <c r="M84" s="12">
        <f t="shared" si="7"/>
        <v>0</v>
      </c>
    </row>
    <row r="85" spans="1:14" x14ac:dyDescent="0.25">
      <c r="A85" s="6" t="s">
        <v>177</v>
      </c>
      <c r="B85" s="50" t="s">
        <v>178</v>
      </c>
      <c r="C85" s="6" t="s">
        <v>134</v>
      </c>
      <c r="D85" s="7" t="s">
        <v>18</v>
      </c>
      <c r="E85" s="7" t="s">
        <v>26</v>
      </c>
      <c r="F85" s="6" t="str">
        <f t="shared" si="4"/>
        <v>DIFAL</v>
      </c>
      <c r="G85" s="38">
        <v>18</v>
      </c>
      <c r="H85" s="42">
        <v>10</v>
      </c>
      <c r="I85" s="42">
        <v>0</v>
      </c>
      <c r="J85" s="11"/>
      <c r="K85" s="28">
        <f t="shared" si="5"/>
        <v>0</v>
      </c>
      <c r="L85" s="12">
        <f t="shared" si="6"/>
        <v>0</v>
      </c>
      <c r="M85" s="12">
        <f t="shared" si="7"/>
        <v>0</v>
      </c>
    </row>
    <row r="86" spans="1:14" x14ac:dyDescent="0.25">
      <c r="A86" s="6" t="s">
        <v>179</v>
      </c>
      <c r="B86" s="50" t="s">
        <v>180</v>
      </c>
      <c r="C86" s="6" t="s">
        <v>134</v>
      </c>
      <c r="D86" s="7" t="s">
        <v>18</v>
      </c>
      <c r="E86" s="7" t="s">
        <v>26</v>
      </c>
      <c r="F86" s="6" t="str">
        <f t="shared" si="4"/>
        <v>DIFAL</v>
      </c>
      <c r="G86" s="38">
        <v>18</v>
      </c>
      <c r="H86" s="42">
        <v>10</v>
      </c>
      <c r="I86" s="42">
        <v>0</v>
      </c>
      <c r="J86" s="11"/>
      <c r="K86" s="28">
        <f t="shared" si="5"/>
        <v>0</v>
      </c>
      <c r="L86" s="12">
        <f t="shared" si="6"/>
        <v>0</v>
      </c>
      <c r="M86" s="12">
        <f t="shared" si="7"/>
        <v>0</v>
      </c>
    </row>
    <row r="87" spans="1:14" x14ac:dyDescent="0.25">
      <c r="A87" s="6" t="s">
        <v>181</v>
      </c>
      <c r="B87" s="50" t="s">
        <v>182</v>
      </c>
      <c r="C87" s="6" t="s">
        <v>134</v>
      </c>
      <c r="D87" s="7" t="s">
        <v>18</v>
      </c>
      <c r="E87" s="7" t="s">
        <v>26</v>
      </c>
      <c r="F87" s="6" t="str">
        <f t="shared" si="4"/>
        <v>DIFAL</v>
      </c>
      <c r="G87" s="38">
        <v>18</v>
      </c>
      <c r="H87" s="42">
        <v>10</v>
      </c>
      <c r="I87" s="42">
        <v>0</v>
      </c>
      <c r="J87" s="11"/>
      <c r="K87" s="28">
        <f t="shared" si="5"/>
        <v>0</v>
      </c>
      <c r="L87" s="12">
        <f t="shared" si="6"/>
        <v>0</v>
      </c>
      <c r="M87" s="12">
        <f t="shared" si="7"/>
        <v>0</v>
      </c>
    </row>
    <row r="88" spans="1:14" x14ac:dyDescent="0.25">
      <c r="A88" s="6" t="s">
        <v>183</v>
      </c>
      <c r="B88" s="50" t="s">
        <v>184</v>
      </c>
      <c r="C88" s="6" t="s">
        <v>134</v>
      </c>
      <c r="D88" s="7" t="s">
        <v>18</v>
      </c>
      <c r="E88" s="7" t="s">
        <v>26</v>
      </c>
      <c r="F88" s="6" t="str">
        <f t="shared" si="4"/>
        <v>DIFAL</v>
      </c>
      <c r="G88" s="38">
        <v>18</v>
      </c>
      <c r="H88" s="42">
        <v>10</v>
      </c>
      <c r="I88" s="42">
        <v>0</v>
      </c>
      <c r="J88" s="11"/>
      <c r="K88" s="28">
        <f t="shared" si="5"/>
        <v>0</v>
      </c>
      <c r="L88" s="12">
        <f t="shared" si="6"/>
        <v>0</v>
      </c>
      <c r="M88" s="12">
        <f t="shared" si="7"/>
        <v>0</v>
      </c>
    </row>
    <row r="89" spans="1:14" x14ac:dyDescent="0.25">
      <c r="A89" s="6" t="s">
        <v>185</v>
      </c>
      <c r="B89" s="50" t="s">
        <v>186</v>
      </c>
      <c r="C89" s="6" t="s">
        <v>134</v>
      </c>
      <c r="D89" s="7" t="s">
        <v>18</v>
      </c>
      <c r="E89" s="7" t="s">
        <v>26</v>
      </c>
      <c r="F89" s="6" t="str">
        <f t="shared" si="4"/>
        <v>DIFAL</v>
      </c>
      <c r="G89" s="38">
        <v>18</v>
      </c>
      <c r="H89" s="42">
        <v>10</v>
      </c>
      <c r="I89" s="42">
        <v>0</v>
      </c>
      <c r="J89" s="11"/>
      <c r="K89" s="28">
        <f t="shared" si="5"/>
        <v>0</v>
      </c>
      <c r="L89" s="12">
        <f t="shared" si="6"/>
        <v>0</v>
      </c>
      <c r="M89" s="12">
        <f t="shared" si="7"/>
        <v>0</v>
      </c>
    </row>
    <row r="90" spans="1:14" x14ac:dyDescent="0.25">
      <c r="A90" s="6" t="s">
        <v>187</v>
      </c>
      <c r="B90" s="50" t="s">
        <v>188</v>
      </c>
      <c r="C90" s="6" t="s">
        <v>134</v>
      </c>
      <c r="D90" s="7" t="s">
        <v>18</v>
      </c>
      <c r="E90" s="7" t="s">
        <v>26</v>
      </c>
      <c r="F90" s="6" t="str">
        <f t="shared" si="4"/>
        <v>DIFAL</v>
      </c>
      <c r="G90" s="38">
        <v>18</v>
      </c>
      <c r="H90" s="42">
        <v>10</v>
      </c>
      <c r="I90" s="42">
        <v>0</v>
      </c>
      <c r="J90" s="11"/>
      <c r="K90" s="28">
        <f t="shared" si="5"/>
        <v>0</v>
      </c>
      <c r="L90" s="12">
        <f t="shared" si="6"/>
        <v>0</v>
      </c>
      <c r="M90" s="12">
        <f t="shared" si="7"/>
        <v>0</v>
      </c>
      <c r="N90" t="s">
        <v>23</v>
      </c>
    </row>
    <row r="91" spans="1:14" x14ac:dyDescent="0.25">
      <c r="A91" s="6" t="s">
        <v>189</v>
      </c>
      <c r="B91" s="50" t="s">
        <v>190</v>
      </c>
      <c r="C91" s="6" t="s">
        <v>134</v>
      </c>
      <c r="D91" s="7" t="s">
        <v>18</v>
      </c>
      <c r="E91" s="7" t="s">
        <v>26</v>
      </c>
      <c r="F91" s="6" t="str">
        <f t="shared" si="4"/>
        <v>DIFAL</v>
      </c>
      <c r="G91" s="38">
        <v>18</v>
      </c>
      <c r="H91" s="42">
        <v>10</v>
      </c>
      <c r="I91" s="42">
        <v>0</v>
      </c>
      <c r="J91" s="11"/>
      <c r="K91" s="28">
        <f t="shared" si="5"/>
        <v>0</v>
      </c>
      <c r="L91" s="12">
        <f t="shared" si="6"/>
        <v>0</v>
      </c>
      <c r="M91" s="12">
        <f t="shared" si="7"/>
        <v>0</v>
      </c>
    </row>
    <row r="92" spans="1:14" x14ac:dyDescent="0.25">
      <c r="A92" s="6" t="s">
        <v>191</v>
      </c>
      <c r="B92" s="50" t="s">
        <v>192</v>
      </c>
      <c r="C92" s="6" t="s">
        <v>134</v>
      </c>
      <c r="D92" s="7" t="s">
        <v>18</v>
      </c>
      <c r="E92" s="7" t="s">
        <v>26</v>
      </c>
      <c r="F92" s="6" t="str">
        <f t="shared" si="4"/>
        <v>DIFAL</v>
      </c>
      <c r="G92" s="38">
        <v>18</v>
      </c>
      <c r="H92" s="42">
        <v>10</v>
      </c>
      <c r="I92" s="42">
        <v>0</v>
      </c>
      <c r="J92" s="11"/>
      <c r="K92" s="28">
        <f t="shared" si="5"/>
        <v>0</v>
      </c>
      <c r="L92" s="12">
        <f t="shared" si="6"/>
        <v>0</v>
      </c>
      <c r="M92" s="12">
        <f t="shared" si="7"/>
        <v>0</v>
      </c>
    </row>
    <row r="93" spans="1:14" x14ac:dyDescent="0.25">
      <c r="A93" s="6" t="s">
        <v>193</v>
      </c>
      <c r="B93" s="50" t="s">
        <v>194</v>
      </c>
      <c r="C93" s="6" t="s">
        <v>134</v>
      </c>
      <c r="D93" s="7" t="s">
        <v>18</v>
      </c>
      <c r="E93" s="7" t="s">
        <v>26</v>
      </c>
      <c r="F93" s="6" t="str">
        <f t="shared" si="4"/>
        <v>DIFAL</v>
      </c>
      <c r="G93" s="38">
        <v>18</v>
      </c>
      <c r="H93" s="42">
        <v>10</v>
      </c>
      <c r="I93" s="42">
        <v>0</v>
      </c>
      <c r="J93" s="11"/>
      <c r="K93" s="28">
        <f t="shared" si="5"/>
        <v>0</v>
      </c>
      <c r="L93" s="12">
        <f t="shared" si="6"/>
        <v>0</v>
      </c>
      <c r="M93" s="12">
        <f t="shared" si="7"/>
        <v>0</v>
      </c>
    </row>
    <row r="94" spans="1:14" x14ac:dyDescent="0.25">
      <c r="A94" s="6" t="s">
        <v>195</v>
      </c>
      <c r="B94" s="50" t="s">
        <v>164</v>
      </c>
      <c r="C94" s="6" t="s">
        <v>134</v>
      </c>
      <c r="D94" s="7" t="s">
        <v>18</v>
      </c>
      <c r="E94" s="7" t="s">
        <v>26</v>
      </c>
      <c r="F94" s="6" t="str">
        <f t="shared" si="4"/>
        <v>DIFAL</v>
      </c>
      <c r="G94" s="38">
        <v>18</v>
      </c>
      <c r="H94" s="42">
        <v>10</v>
      </c>
      <c r="I94" s="42">
        <v>0</v>
      </c>
      <c r="J94" s="11"/>
      <c r="K94" s="28">
        <f t="shared" si="5"/>
        <v>0</v>
      </c>
      <c r="L94" s="12">
        <f t="shared" si="6"/>
        <v>0</v>
      </c>
      <c r="M94" s="12">
        <f t="shared" si="7"/>
        <v>0</v>
      </c>
    </row>
    <row r="95" spans="1:14" x14ac:dyDescent="0.25">
      <c r="A95" s="6" t="s">
        <v>196</v>
      </c>
      <c r="B95" s="50" t="s">
        <v>164</v>
      </c>
      <c r="C95" s="6" t="s">
        <v>134</v>
      </c>
      <c r="D95" s="7" t="s">
        <v>18</v>
      </c>
      <c r="E95" s="7" t="s">
        <v>26</v>
      </c>
      <c r="F95" s="6" t="str">
        <f t="shared" si="4"/>
        <v>DIFAL</v>
      </c>
      <c r="G95" s="38">
        <v>18</v>
      </c>
      <c r="H95" s="42">
        <v>10</v>
      </c>
      <c r="I95" s="42">
        <v>0</v>
      </c>
      <c r="J95" s="11"/>
      <c r="K95" s="28">
        <f t="shared" si="5"/>
        <v>0</v>
      </c>
      <c r="L95" s="12">
        <f t="shared" si="6"/>
        <v>0</v>
      </c>
      <c r="M95" s="12">
        <f t="shared" si="7"/>
        <v>0</v>
      </c>
    </row>
    <row r="96" spans="1:14" x14ac:dyDescent="0.25">
      <c r="A96" s="6" t="s">
        <v>197</v>
      </c>
      <c r="B96" s="50" t="s">
        <v>164</v>
      </c>
      <c r="C96" s="6" t="s">
        <v>134</v>
      </c>
      <c r="D96" s="7" t="s">
        <v>18</v>
      </c>
      <c r="E96" s="7" t="s">
        <v>26</v>
      </c>
      <c r="F96" s="6" t="str">
        <f t="shared" si="4"/>
        <v>DIFAL</v>
      </c>
      <c r="G96" s="38">
        <v>18</v>
      </c>
      <c r="H96" s="42">
        <v>10</v>
      </c>
      <c r="I96" s="42">
        <v>0</v>
      </c>
      <c r="J96" s="11"/>
      <c r="K96" s="28">
        <f t="shared" si="5"/>
        <v>0</v>
      </c>
      <c r="L96" s="12">
        <f t="shared" si="6"/>
        <v>0</v>
      </c>
      <c r="M96" s="12">
        <f t="shared" si="7"/>
        <v>0</v>
      </c>
    </row>
    <row r="97" spans="1:13" x14ac:dyDescent="0.25">
      <c r="A97" s="6" t="s">
        <v>198</v>
      </c>
      <c r="B97" s="50" t="s">
        <v>164</v>
      </c>
      <c r="C97" s="6" t="s">
        <v>134</v>
      </c>
      <c r="D97" s="7" t="s">
        <v>18</v>
      </c>
      <c r="E97" s="7" t="s">
        <v>26</v>
      </c>
      <c r="F97" s="6" t="str">
        <f t="shared" si="4"/>
        <v>DIFAL</v>
      </c>
      <c r="G97" s="38">
        <v>18</v>
      </c>
      <c r="H97" s="42">
        <v>10</v>
      </c>
      <c r="I97" s="42">
        <v>0</v>
      </c>
      <c r="J97" s="11"/>
      <c r="K97" s="28">
        <f t="shared" si="5"/>
        <v>0</v>
      </c>
      <c r="L97" s="12">
        <f t="shared" si="6"/>
        <v>0</v>
      </c>
      <c r="M97" s="12">
        <f t="shared" si="7"/>
        <v>0</v>
      </c>
    </row>
    <row r="98" spans="1:13" x14ac:dyDescent="0.25">
      <c r="A98" s="6" t="s">
        <v>99</v>
      </c>
      <c r="B98" s="50" t="s">
        <v>199</v>
      </c>
      <c r="C98" s="6" t="s">
        <v>134</v>
      </c>
      <c r="D98" s="7" t="s">
        <v>18</v>
      </c>
      <c r="E98" s="7" t="s">
        <v>26</v>
      </c>
      <c r="F98" s="6" t="str">
        <f t="shared" si="4"/>
        <v>DIFAL</v>
      </c>
      <c r="G98" s="38">
        <v>18</v>
      </c>
      <c r="H98" s="42">
        <v>10</v>
      </c>
      <c r="I98" s="42">
        <v>0</v>
      </c>
      <c r="J98" s="11"/>
      <c r="K98" s="28">
        <f t="shared" si="5"/>
        <v>0</v>
      </c>
      <c r="L98" s="12">
        <f t="shared" si="6"/>
        <v>0</v>
      </c>
      <c r="M98" s="12">
        <f t="shared" si="7"/>
        <v>0</v>
      </c>
    </row>
    <row r="99" spans="1:13" x14ac:dyDescent="0.25">
      <c r="A99" s="6" t="s">
        <v>200</v>
      </c>
      <c r="B99" s="50" t="s">
        <v>201</v>
      </c>
      <c r="C99" s="6" t="s">
        <v>134</v>
      </c>
      <c r="D99" s="7" t="s">
        <v>18</v>
      </c>
      <c r="E99" s="7" t="s">
        <v>26</v>
      </c>
      <c r="F99" s="6" t="str">
        <f t="shared" si="4"/>
        <v>DIFAL</v>
      </c>
      <c r="G99" s="38">
        <v>18</v>
      </c>
      <c r="H99" s="42">
        <v>10</v>
      </c>
      <c r="I99" s="42">
        <v>0</v>
      </c>
      <c r="J99" s="11"/>
      <c r="K99" s="28">
        <f t="shared" si="5"/>
        <v>0</v>
      </c>
      <c r="L99" s="12">
        <f t="shared" si="6"/>
        <v>0</v>
      </c>
      <c r="M99" s="12">
        <f t="shared" si="7"/>
        <v>0</v>
      </c>
    </row>
    <row r="100" spans="1:13" x14ac:dyDescent="0.25">
      <c r="A100" s="6" t="s">
        <v>129</v>
      </c>
      <c r="B100" s="50" t="s">
        <v>202</v>
      </c>
      <c r="C100" s="6" t="s">
        <v>134</v>
      </c>
      <c r="D100" s="7" t="s">
        <v>18</v>
      </c>
      <c r="E100" s="7" t="s">
        <v>26</v>
      </c>
      <c r="F100" s="6" t="str">
        <f t="shared" si="4"/>
        <v>DIFAL</v>
      </c>
      <c r="G100" s="38">
        <v>18</v>
      </c>
      <c r="H100" s="42">
        <v>10</v>
      </c>
      <c r="I100" s="42">
        <v>0</v>
      </c>
      <c r="J100" s="11"/>
      <c r="K100" s="28">
        <f t="shared" si="5"/>
        <v>0</v>
      </c>
      <c r="L100" s="12">
        <f t="shared" si="6"/>
        <v>0</v>
      </c>
      <c r="M100" s="12">
        <f t="shared" si="7"/>
        <v>0</v>
      </c>
    </row>
    <row r="101" spans="1:13" x14ac:dyDescent="0.25">
      <c r="A101" s="6" t="s">
        <v>203</v>
      </c>
      <c r="B101" s="50" t="s">
        <v>204</v>
      </c>
      <c r="C101" s="6" t="s">
        <v>134</v>
      </c>
      <c r="D101" s="7" t="s">
        <v>18</v>
      </c>
      <c r="E101" s="7" t="s">
        <v>26</v>
      </c>
      <c r="F101" s="6" t="str">
        <f t="shared" si="4"/>
        <v>DIFAL</v>
      </c>
      <c r="G101" s="38">
        <v>18</v>
      </c>
      <c r="H101" s="42">
        <v>10</v>
      </c>
      <c r="I101" s="42">
        <v>0</v>
      </c>
      <c r="J101" s="11"/>
      <c r="K101" s="28">
        <f t="shared" si="5"/>
        <v>0</v>
      </c>
      <c r="L101" s="12">
        <f t="shared" si="6"/>
        <v>0</v>
      </c>
      <c r="M101" s="12">
        <f t="shared" si="7"/>
        <v>0</v>
      </c>
    </row>
    <row r="102" spans="1:13" x14ac:dyDescent="0.25">
      <c r="A102" s="6" t="s">
        <v>205</v>
      </c>
      <c r="B102" s="50" t="s">
        <v>206</v>
      </c>
      <c r="C102" s="6" t="s">
        <v>134</v>
      </c>
      <c r="D102" s="7" t="s">
        <v>18</v>
      </c>
      <c r="E102" s="7" t="s">
        <v>26</v>
      </c>
      <c r="F102" s="6" t="str">
        <f t="shared" si="4"/>
        <v>DIFAL</v>
      </c>
      <c r="G102" s="38">
        <v>18</v>
      </c>
      <c r="H102" s="42">
        <v>10</v>
      </c>
      <c r="I102" s="42">
        <v>0</v>
      </c>
      <c r="J102" s="11"/>
      <c r="K102" s="28">
        <f t="shared" si="5"/>
        <v>0</v>
      </c>
      <c r="L102" s="12">
        <f t="shared" si="6"/>
        <v>0</v>
      </c>
      <c r="M102" s="12">
        <f t="shared" si="7"/>
        <v>0</v>
      </c>
    </row>
    <row r="103" spans="1:13" x14ac:dyDescent="0.25">
      <c r="A103" s="6" t="s">
        <v>207</v>
      </c>
      <c r="B103" s="50" t="s">
        <v>208</v>
      </c>
      <c r="C103" s="6" t="s">
        <v>134</v>
      </c>
      <c r="D103" s="7" t="s">
        <v>18</v>
      </c>
      <c r="E103" s="7" t="s">
        <v>26</v>
      </c>
      <c r="F103" s="6" t="str">
        <f t="shared" si="4"/>
        <v>DIFAL</v>
      </c>
      <c r="G103" s="38">
        <v>18</v>
      </c>
      <c r="H103" s="42">
        <v>10</v>
      </c>
      <c r="I103" s="42">
        <v>0</v>
      </c>
      <c r="J103" s="11"/>
      <c r="K103" s="28">
        <f t="shared" si="5"/>
        <v>0</v>
      </c>
      <c r="L103" s="12">
        <f t="shared" si="6"/>
        <v>0</v>
      </c>
      <c r="M103" s="12">
        <f t="shared" si="7"/>
        <v>0</v>
      </c>
    </row>
    <row r="104" spans="1:13" x14ac:dyDescent="0.25">
      <c r="A104" s="6" t="s">
        <v>209</v>
      </c>
      <c r="B104" s="50" t="s">
        <v>210</v>
      </c>
      <c r="C104" s="6" t="s">
        <v>134</v>
      </c>
      <c r="D104" s="7" t="s">
        <v>18</v>
      </c>
      <c r="E104" s="7" t="s">
        <v>26</v>
      </c>
      <c r="F104" s="6" t="str">
        <f t="shared" si="4"/>
        <v>DIFAL</v>
      </c>
      <c r="G104" s="38">
        <v>18</v>
      </c>
      <c r="H104" s="42">
        <v>10</v>
      </c>
      <c r="I104" s="42">
        <v>0</v>
      </c>
      <c r="J104" s="11"/>
      <c r="K104" s="28">
        <f t="shared" si="5"/>
        <v>0</v>
      </c>
      <c r="L104" s="12">
        <f t="shared" si="6"/>
        <v>0</v>
      </c>
      <c r="M104" s="12">
        <f t="shared" si="7"/>
        <v>0</v>
      </c>
    </row>
    <row r="105" spans="1:13" x14ac:dyDescent="0.25">
      <c r="A105" s="6" t="s">
        <v>211</v>
      </c>
      <c r="B105" s="50" t="s">
        <v>212</v>
      </c>
      <c r="C105" s="6" t="s">
        <v>134</v>
      </c>
      <c r="D105" s="7" t="s">
        <v>18</v>
      </c>
      <c r="E105" s="7" t="s">
        <v>26</v>
      </c>
      <c r="F105" s="6" t="str">
        <f t="shared" si="4"/>
        <v>DIFAL</v>
      </c>
      <c r="G105" s="38">
        <v>18</v>
      </c>
      <c r="H105" s="42">
        <v>10</v>
      </c>
      <c r="I105" s="42">
        <v>0</v>
      </c>
      <c r="J105" s="11"/>
      <c r="K105" s="28">
        <f t="shared" si="5"/>
        <v>0</v>
      </c>
      <c r="L105" s="12">
        <f t="shared" si="6"/>
        <v>0</v>
      </c>
      <c r="M105" s="12">
        <f t="shared" si="7"/>
        <v>0</v>
      </c>
    </row>
    <row r="106" spans="1:13" x14ac:dyDescent="0.25">
      <c r="A106" s="6" t="s">
        <v>213</v>
      </c>
      <c r="B106" s="50" t="s">
        <v>214</v>
      </c>
      <c r="C106" s="6" t="s">
        <v>134</v>
      </c>
      <c r="D106" s="7" t="s">
        <v>18</v>
      </c>
      <c r="E106" s="7" t="s">
        <v>26</v>
      </c>
      <c r="F106" s="6" t="str">
        <f t="shared" si="4"/>
        <v>DIFAL</v>
      </c>
      <c r="G106" s="38">
        <v>18</v>
      </c>
      <c r="H106" s="42">
        <v>10</v>
      </c>
      <c r="I106" s="42">
        <v>0</v>
      </c>
      <c r="J106" s="11"/>
      <c r="K106" s="28">
        <f t="shared" si="5"/>
        <v>0</v>
      </c>
      <c r="L106" s="12">
        <f t="shared" si="6"/>
        <v>0</v>
      </c>
      <c r="M106" s="12">
        <f t="shared" si="7"/>
        <v>0</v>
      </c>
    </row>
    <row r="107" spans="1:13" x14ac:dyDescent="0.25">
      <c r="A107" s="6" t="s">
        <v>215</v>
      </c>
      <c r="B107" s="50" t="s">
        <v>216</v>
      </c>
      <c r="C107" s="6" t="s">
        <v>134</v>
      </c>
      <c r="D107" s="7" t="s">
        <v>18</v>
      </c>
      <c r="E107" s="7" t="s">
        <v>26</v>
      </c>
      <c r="F107" s="6" t="str">
        <f t="shared" si="4"/>
        <v>DIFAL</v>
      </c>
      <c r="G107" s="38">
        <v>18</v>
      </c>
      <c r="H107" s="42">
        <v>10</v>
      </c>
      <c r="I107" s="42">
        <v>0</v>
      </c>
      <c r="J107" s="11"/>
      <c r="K107" s="28">
        <f t="shared" si="5"/>
        <v>0</v>
      </c>
      <c r="L107" s="12">
        <f t="shared" si="6"/>
        <v>0</v>
      </c>
      <c r="M107" s="12">
        <f t="shared" si="7"/>
        <v>0</v>
      </c>
    </row>
    <row r="108" spans="1:13" x14ac:dyDescent="0.25">
      <c r="A108" s="6" t="s">
        <v>217</v>
      </c>
      <c r="B108" s="50" t="s">
        <v>218</v>
      </c>
      <c r="C108" s="6" t="s">
        <v>134</v>
      </c>
      <c r="D108" s="7" t="s">
        <v>18</v>
      </c>
      <c r="E108" s="7" t="s">
        <v>26</v>
      </c>
      <c r="F108" s="6" t="str">
        <f t="shared" si="4"/>
        <v>DIFAL</v>
      </c>
      <c r="G108" s="38">
        <v>18</v>
      </c>
      <c r="H108" s="42">
        <v>10</v>
      </c>
      <c r="I108" s="42">
        <v>0</v>
      </c>
      <c r="J108" s="11"/>
      <c r="K108" s="28">
        <f t="shared" si="5"/>
        <v>0</v>
      </c>
      <c r="L108" s="12">
        <f t="shared" si="6"/>
        <v>0</v>
      </c>
      <c r="M108" s="12">
        <f t="shared" si="7"/>
        <v>0</v>
      </c>
    </row>
    <row r="109" spans="1:13" x14ac:dyDescent="0.25">
      <c r="A109" s="6" t="s">
        <v>219</v>
      </c>
      <c r="B109" s="50" t="s">
        <v>220</v>
      </c>
      <c r="C109" s="6" t="s">
        <v>134</v>
      </c>
      <c r="D109" s="7" t="s">
        <v>18</v>
      </c>
      <c r="E109" s="7" t="s">
        <v>26</v>
      </c>
      <c r="F109" s="6" t="str">
        <f t="shared" si="4"/>
        <v>DIFAL</v>
      </c>
      <c r="G109" s="38">
        <v>18</v>
      </c>
      <c r="H109" s="42">
        <v>10</v>
      </c>
      <c r="I109" s="42">
        <v>0</v>
      </c>
      <c r="J109" s="11"/>
      <c r="K109" s="28">
        <f t="shared" si="5"/>
        <v>0</v>
      </c>
      <c r="L109" s="12">
        <f t="shared" si="6"/>
        <v>0</v>
      </c>
      <c r="M109" s="12">
        <f t="shared" si="7"/>
        <v>0</v>
      </c>
    </row>
    <row r="110" spans="1:13" x14ac:dyDescent="0.25">
      <c r="A110" s="6" t="s">
        <v>221</v>
      </c>
      <c r="B110" s="50" t="s">
        <v>222</v>
      </c>
      <c r="C110" s="6" t="s">
        <v>134</v>
      </c>
      <c r="D110" s="7" t="s">
        <v>18</v>
      </c>
      <c r="E110" s="7" t="s">
        <v>26</v>
      </c>
      <c r="F110" s="6" t="str">
        <f t="shared" si="4"/>
        <v>DIFAL</v>
      </c>
      <c r="G110" s="38">
        <v>18</v>
      </c>
      <c r="H110" s="42">
        <v>10</v>
      </c>
      <c r="I110" s="42">
        <v>0</v>
      </c>
      <c r="J110" s="11"/>
      <c r="K110" s="28">
        <f t="shared" si="5"/>
        <v>0</v>
      </c>
      <c r="L110" s="12">
        <f t="shared" si="6"/>
        <v>0</v>
      </c>
      <c r="M110" s="12">
        <f t="shared" si="7"/>
        <v>0</v>
      </c>
    </row>
    <row r="111" spans="1:13" x14ac:dyDescent="0.25">
      <c r="A111" s="6" t="s">
        <v>223</v>
      </c>
      <c r="B111" s="50" t="s">
        <v>224</v>
      </c>
      <c r="C111" s="6" t="s">
        <v>134</v>
      </c>
      <c r="D111" s="7" t="s">
        <v>18</v>
      </c>
      <c r="E111" s="7" t="s">
        <v>26</v>
      </c>
      <c r="F111" s="6" t="str">
        <f t="shared" si="4"/>
        <v>DIFAL</v>
      </c>
      <c r="G111" s="38">
        <v>18</v>
      </c>
      <c r="H111" s="42">
        <v>10</v>
      </c>
      <c r="I111" s="42">
        <v>0</v>
      </c>
      <c r="J111" s="11"/>
      <c r="K111" s="28">
        <f t="shared" si="5"/>
        <v>0</v>
      </c>
      <c r="L111" s="12">
        <f t="shared" si="6"/>
        <v>0</v>
      </c>
      <c r="M111" s="12">
        <f t="shared" si="7"/>
        <v>0</v>
      </c>
    </row>
    <row r="112" spans="1:13" x14ac:dyDescent="0.25">
      <c r="A112" s="6" t="s">
        <v>225</v>
      </c>
      <c r="B112" s="50" t="s">
        <v>224</v>
      </c>
      <c r="C112" s="6" t="s">
        <v>134</v>
      </c>
      <c r="D112" s="7" t="s">
        <v>18</v>
      </c>
      <c r="E112" s="7" t="s">
        <v>26</v>
      </c>
      <c r="F112" s="6" t="str">
        <f t="shared" si="4"/>
        <v>DIFAL</v>
      </c>
      <c r="G112" s="38">
        <v>18</v>
      </c>
      <c r="H112" s="42">
        <v>10</v>
      </c>
      <c r="I112" s="42">
        <v>0</v>
      </c>
      <c r="J112" s="11"/>
      <c r="K112" s="28">
        <f t="shared" si="5"/>
        <v>0</v>
      </c>
      <c r="L112" s="12">
        <f t="shared" si="6"/>
        <v>0</v>
      </c>
      <c r="M112" s="12">
        <f t="shared" si="7"/>
        <v>0</v>
      </c>
    </row>
    <row r="113" spans="1:13" x14ac:dyDescent="0.25">
      <c r="A113" s="6" t="s">
        <v>226</v>
      </c>
      <c r="B113" s="50" t="s">
        <v>178</v>
      </c>
      <c r="C113" s="6" t="s">
        <v>134</v>
      </c>
      <c r="D113" s="7" t="s">
        <v>18</v>
      </c>
      <c r="E113" s="7" t="s">
        <v>26</v>
      </c>
      <c r="F113" s="6" t="str">
        <f t="shared" si="4"/>
        <v>DIFAL</v>
      </c>
      <c r="G113" s="38">
        <v>18</v>
      </c>
      <c r="H113" s="42">
        <v>10</v>
      </c>
      <c r="I113" s="42">
        <v>0</v>
      </c>
      <c r="J113" s="11"/>
      <c r="K113" s="28">
        <f t="shared" si="5"/>
        <v>0</v>
      </c>
      <c r="L113" s="12">
        <f t="shared" si="6"/>
        <v>0</v>
      </c>
      <c r="M113" s="12">
        <f t="shared" si="7"/>
        <v>0</v>
      </c>
    </row>
    <row r="114" spans="1:13" x14ac:dyDescent="0.25">
      <c r="A114" s="6" t="s">
        <v>227</v>
      </c>
      <c r="B114" s="50" t="s">
        <v>228</v>
      </c>
      <c r="C114" s="6" t="s">
        <v>134</v>
      </c>
      <c r="D114" s="7" t="s">
        <v>18</v>
      </c>
      <c r="E114" s="7" t="s">
        <v>26</v>
      </c>
      <c r="F114" s="6" t="str">
        <f t="shared" si="4"/>
        <v>DIFAL</v>
      </c>
      <c r="G114" s="38">
        <v>18</v>
      </c>
      <c r="H114" s="42">
        <v>10</v>
      </c>
      <c r="I114" s="42">
        <v>0</v>
      </c>
      <c r="J114" s="11"/>
      <c r="K114" s="28">
        <f t="shared" si="5"/>
        <v>0</v>
      </c>
      <c r="L114" s="12">
        <f t="shared" si="6"/>
        <v>0</v>
      </c>
      <c r="M114" s="12">
        <f t="shared" si="7"/>
        <v>0</v>
      </c>
    </row>
    <row r="115" spans="1:13" x14ac:dyDescent="0.25">
      <c r="A115" s="6" t="s">
        <v>229</v>
      </c>
      <c r="B115" s="50" t="s">
        <v>230</v>
      </c>
      <c r="C115" s="6" t="s">
        <v>134</v>
      </c>
      <c r="D115" s="7" t="s">
        <v>18</v>
      </c>
      <c r="E115" s="7" t="s">
        <v>26</v>
      </c>
      <c r="F115" s="6" t="str">
        <f t="shared" si="4"/>
        <v>DIFAL</v>
      </c>
      <c r="G115" s="38">
        <v>18</v>
      </c>
      <c r="H115" s="42">
        <v>10</v>
      </c>
      <c r="I115" s="42">
        <v>0</v>
      </c>
      <c r="J115" s="11"/>
      <c r="K115" s="28">
        <f t="shared" si="5"/>
        <v>0</v>
      </c>
      <c r="L115" s="12">
        <f t="shared" si="6"/>
        <v>0</v>
      </c>
      <c r="M115" s="12">
        <f t="shared" si="7"/>
        <v>0</v>
      </c>
    </row>
    <row r="116" spans="1:13" x14ac:dyDescent="0.25">
      <c r="A116" s="6" t="s">
        <v>231</v>
      </c>
      <c r="B116" s="50" t="s">
        <v>232</v>
      </c>
      <c r="C116" s="6" t="s">
        <v>134</v>
      </c>
      <c r="D116" s="7" t="s">
        <v>18</v>
      </c>
      <c r="E116" s="7" t="s">
        <v>26</v>
      </c>
      <c r="F116" s="6" t="str">
        <f t="shared" si="4"/>
        <v>DIFAL</v>
      </c>
      <c r="G116" s="38">
        <v>18</v>
      </c>
      <c r="H116" s="42">
        <v>10</v>
      </c>
      <c r="I116" s="42">
        <v>0</v>
      </c>
      <c r="J116" s="11"/>
      <c r="K116" s="28">
        <f t="shared" si="5"/>
        <v>0</v>
      </c>
      <c r="L116" s="12">
        <f t="shared" si="6"/>
        <v>0</v>
      </c>
      <c r="M116" s="12">
        <f t="shared" si="7"/>
        <v>0</v>
      </c>
    </row>
    <row r="117" spans="1:13" x14ac:dyDescent="0.25">
      <c r="A117" s="6" t="s">
        <v>233</v>
      </c>
      <c r="B117" s="50" t="s">
        <v>234</v>
      </c>
      <c r="C117" s="6" t="s">
        <v>134</v>
      </c>
      <c r="D117" s="7" t="s">
        <v>18</v>
      </c>
      <c r="E117" s="7" t="s">
        <v>26</v>
      </c>
      <c r="F117" s="6" t="str">
        <f t="shared" si="4"/>
        <v>DIFAL</v>
      </c>
      <c r="G117" s="38">
        <v>18</v>
      </c>
      <c r="H117" s="42">
        <v>10</v>
      </c>
      <c r="I117" s="42">
        <v>0</v>
      </c>
      <c r="J117" s="11"/>
      <c r="K117" s="28">
        <f t="shared" si="5"/>
        <v>0</v>
      </c>
      <c r="L117" s="12">
        <f t="shared" si="6"/>
        <v>0</v>
      </c>
      <c r="M117" s="12">
        <f t="shared" si="7"/>
        <v>0</v>
      </c>
    </row>
    <row r="118" spans="1:13" x14ac:dyDescent="0.25">
      <c r="A118" s="6" t="s">
        <v>235</v>
      </c>
      <c r="B118" s="50" t="s">
        <v>236</v>
      </c>
      <c r="C118" s="6" t="s">
        <v>134</v>
      </c>
      <c r="D118" s="7" t="s">
        <v>18</v>
      </c>
      <c r="E118" s="7" t="s">
        <v>26</v>
      </c>
      <c r="F118" s="6" t="str">
        <f t="shared" si="4"/>
        <v>DIFAL</v>
      </c>
      <c r="G118" s="38">
        <v>18</v>
      </c>
      <c r="H118" s="42">
        <v>10</v>
      </c>
      <c r="I118" s="42">
        <v>0</v>
      </c>
      <c r="J118" s="11"/>
      <c r="K118" s="28">
        <f t="shared" si="5"/>
        <v>0</v>
      </c>
      <c r="L118" s="12">
        <f t="shared" si="6"/>
        <v>0</v>
      </c>
      <c r="M118" s="12">
        <f t="shared" si="7"/>
        <v>0</v>
      </c>
    </row>
    <row r="119" spans="1:13" x14ac:dyDescent="0.25">
      <c r="A119" s="6" t="s">
        <v>237</v>
      </c>
      <c r="B119" s="50" t="s">
        <v>238</v>
      </c>
      <c r="C119" s="6" t="s">
        <v>134</v>
      </c>
      <c r="D119" s="7" t="s">
        <v>18</v>
      </c>
      <c r="E119" s="7" t="s">
        <v>26</v>
      </c>
      <c r="F119" s="6" t="str">
        <f t="shared" si="4"/>
        <v>DIFAL</v>
      </c>
      <c r="G119" s="38">
        <v>18</v>
      </c>
      <c r="H119" s="42">
        <v>10</v>
      </c>
      <c r="I119" s="42">
        <v>0</v>
      </c>
      <c r="J119" s="11"/>
      <c r="K119" s="28">
        <f t="shared" si="5"/>
        <v>0</v>
      </c>
      <c r="L119" s="12">
        <f t="shared" si="6"/>
        <v>0</v>
      </c>
      <c r="M119" s="12">
        <f t="shared" si="7"/>
        <v>0</v>
      </c>
    </row>
    <row r="120" spans="1:13" x14ac:dyDescent="0.25">
      <c r="A120" s="6" t="s">
        <v>239</v>
      </c>
      <c r="B120" s="50" t="s">
        <v>240</v>
      </c>
      <c r="C120" s="6" t="s">
        <v>134</v>
      </c>
      <c r="D120" s="7" t="s">
        <v>18</v>
      </c>
      <c r="E120" s="7" t="s">
        <v>26</v>
      </c>
      <c r="F120" s="6" t="str">
        <f t="shared" si="4"/>
        <v>DIFAL</v>
      </c>
      <c r="G120" s="38">
        <v>18</v>
      </c>
      <c r="H120" s="42">
        <v>10</v>
      </c>
      <c r="I120" s="42">
        <v>0</v>
      </c>
      <c r="J120" s="11"/>
      <c r="K120" s="28">
        <f t="shared" si="5"/>
        <v>0</v>
      </c>
      <c r="L120" s="12">
        <f t="shared" si="6"/>
        <v>0</v>
      </c>
      <c r="M120" s="12">
        <f t="shared" si="7"/>
        <v>0</v>
      </c>
    </row>
    <row r="121" spans="1:13" x14ac:dyDescent="0.25">
      <c r="A121" s="6" t="s">
        <v>241</v>
      </c>
      <c r="B121" s="50" t="s">
        <v>242</v>
      </c>
      <c r="C121" s="6" t="s">
        <v>134</v>
      </c>
      <c r="D121" s="7" t="s">
        <v>18</v>
      </c>
      <c r="E121" s="7" t="s">
        <v>26</v>
      </c>
      <c r="F121" s="6" t="str">
        <f t="shared" si="4"/>
        <v>DIFAL</v>
      </c>
      <c r="G121" s="38">
        <v>18</v>
      </c>
      <c r="H121" s="42">
        <v>10</v>
      </c>
      <c r="I121" s="42">
        <v>0</v>
      </c>
      <c r="J121" s="11"/>
      <c r="K121" s="28">
        <f t="shared" si="5"/>
        <v>0</v>
      </c>
      <c r="L121" s="12">
        <f t="shared" si="6"/>
        <v>0</v>
      </c>
      <c r="M121" s="12">
        <f t="shared" si="7"/>
        <v>0</v>
      </c>
    </row>
    <row r="122" spans="1:13" x14ac:dyDescent="0.25">
      <c r="A122" s="6" t="s">
        <v>243</v>
      </c>
      <c r="B122" s="50" t="s">
        <v>244</v>
      </c>
      <c r="C122" s="6" t="s">
        <v>134</v>
      </c>
      <c r="D122" s="7" t="s">
        <v>18</v>
      </c>
      <c r="E122" s="7" t="s">
        <v>26</v>
      </c>
      <c r="F122" s="6" t="str">
        <f t="shared" si="4"/>
        <v>DIFAL</v>
      </c>
      <c r="G122" s="38">
        <v>18</v>
      </c>
      <c r="H122" s="42">
        <v>10</v>
      </c>
      <c r="I122" s="42">
        <v>0</v>
      </c>
      <c r="J122" s="11"/>
      <c r="K122" s="28">
        <f t="shared" si="5"/>
        <v>0</v>
      </c>
      <c r="L122" s="12">
        <f t="shared" si="6"/>
        <v>0</v>
      </c>
      <c r="M122" s="12">
        <f t="shared" si="7"/>
        <v>0</v>
      </c>
    </row>
    <row r="123" spans="1:13" x14ac:dyDescent="0.25">
      <c r="A123" s="6" t="s">
        <v>245</v>
      </c>
      <c r="B123" s="50" t="s">
        <v>246</v>
      </c>
      <c r="C123" s="6" t="s">
        <v>134</v>
      </c>
      <c r="D123" s="7" t="s">
        <v>18</v>
      </c>
      <c r="E123" s="7" t="s">
        <v>26</v>
      </c>
      <c r="F123" s="6" t="str">
        <f t="shared" si="4"/>
        <v>DIFAL</v>
      </c>
      <c r="G123" s="38">
        <v>18</v>
      </c>
      <c r="H123" s="42">
        <v>10</v>
      </c>
      <c r="I123" s="42">
        <v>0</v>
      </c>
      <c r="J123" s="11"/>
      <c r="K123" s="28">
        <f t="shared" si="5"/>
        <v>0</v>
      </c>
      <c r="L123" s="12">
        <f t="shared" si="6"/>
        <v>0</v>
      </c>
      <c r="M123" s="12">
        <f t="shared" si="7"/>
        <v>0</v>
      </c>
    </row>
    <row r="124" spans="1:13" x14ac:dyDescent="0.25">
      <c r="A124" s="6" t="s">
        <v>247</v>
      </c>
      <c r="B124" s="50" t="s">
        <v>248</v>
      </c>
      <c r="C124" s="6" t="s">
        <v>134</v>
      </c>
      <c r="D124" s="7" t="s">
        <v>18</v>
      </c>
      <c r="E124" s="7" t="s">
        <v>26</v>
      </c>
      <c r="F124" s="6" t="str">
        <f t="shared" si="4"/>
        <v>DIFAL</v>
      </c>
      <c r="G124" s="38">
        <v>18</v>
      </c>
      <c r="H124" s="42">
        <v>10</v>
      </c>
      <c r="I124" s="42">
        <v>0</v>
      </c>
      <c r="J124" s="11"/>
      <c r="K124" s="28">
        <f t="shared" si="5"/>
        <v>0</v>
      </c>
      <c r="L124" s="12">
        <f t="shared" si="6"/>
        <v>0</v>
      </c>
      <c r="M124" s="12">
        <f t="shared" si="7"/>
        <v>0</v>
      </c>
    </row>
    <row r="125" spans="1:13" x14ac:dyDescent="0.25">
      <c r="A125" s="6" t="s">
        <v>249</v>
      </c>
      <c r="B125" s="50" t="s">
        <v>250</v>
      </c>
      <c r="C125" s="6" t="s">
        <v>134</v>
      </c>
      <c r="D125" s="7" t="s">
        <v>18</v>
      </c>
      <c r="E125" s="7" t="s">
        <v>26</v>
      </c>
      <c r="F125" s="6" t="str">
        <f t="shared" si="4"/>
        <v>DIFAL</v>
      </c>
      <c r="G125" s="38">
        <v>18</v>
      </c>
      <c r="H125" s="42">
        <v>10</v>
      </c>
      <c r="I125" s="42">
        <v>0</v>
      </c>
      <c r="J125" s="11"/>
      <c r="K125" s="28">
        <f t="shared" si="5"/>
        <v>0</v>
      </c>
      <c r="L125" s="12">
        <f t="shared" si="6"/>
        <v>0</v>
      </c>
      <c r="M125" s="12">
        <f t="shared" si="7"/>
        <v>0</v>
      </c>
    </row>
    <row r="126" spans="1:13" x14ac:dyDescent="0.25">
      <c r="A126" s="6" t="s">
        <v>251</v>
      </c>
      <c r="B126" s="50" t="s">
        <v>252</v>
      </c>
      <c r="C126" s="6" t="s">
        <v>134</v>
      </c>
      <c r="D126" s="7" t="s">
        <v>18</v>
      </c>
      <c r="E126" s="7" t="s">
        <v>26</v>
      </c>
      <c r="F126" s="6" t="str">
        <f t="shared" si="4"/>
        <v>DIFAL</v>
      </c>
      <c r="G126" s="38">
        <v>18</v>
      </c>
      <c r="H126" s="42">
        <v>10</v>
      </c>
      <c r="I126" s="42">
        <v>0</v>
      </c>
      <c r="J126" s="11"/>
      <c r="K126" s="28">
        <f t="shared" si="5"/>
        <v>0</v>
      </c>
      <c r="L126" s="12">
        <f t="shared" si="6"/>
        <v>0</v>
      </c>
      <c r="M126" s="12">
        <f t="shared" si="7"/>
        <v>0</v>
      </c>
    </row>
    <row r="127" spans="1:13" x14ac:dyDescent="0.25">
      <c r="A127" s="6" t="s">
        <v>253</v>
      </c>
      <c r="B127" s="50" t="s">
        <v>254</v>
      </c>
      <c r="C127" s="6" t="s">
        <v>134</v>
      </c>
      <c r="D127" s="7" t="s">
        <v>18</v>
      </c>
      <c r="E127" s="7" t="s">
        <v>26</v>
      </c>
      <c r="F127" s="6" t="str">
        <f t="shared" si="4"/>
        <v>DIFAL</v>
      </c>
      <c r="G127" s="38">
        <v>18</v>
      </c>
      <c r="H127" s="42">
        <v>10</v>
      </c>
      <c r="I127" s="42">
        <v>0</v>
      </c>
      <c r="J127" s="11"/>
      <c r="K127" s="28">
        <f t="shared" si="5"/>
        <v>0</v>
      </c>
      <c r="L127" s="12">
        <f t="shared" si="6"/>
        <v>0</v>
      </c>
      <c r="M127" s="12">
        <f t="shared" si="7"/>
        <v>0</v>
      </c>
    </row>
    <row r="128" spans="1:13" x14ac:dyDescent="0.25">
      <c r="A128" s="6" t="s">
        <v>255</v>
      </c>
      <c r="B128" s="50" t="s">
        <v>256</v>
      </c>
      <c r="C128" s="6" t="s">
        <v>134</v>
      </c>
      <c r="D128" s="7" t="s">
        <v>18</v>
      </c>
      <c r="E128" s="7" t="s">
        <v>26</v>
      </c>
      <c r="F128" s="6" t="str">
        <f t="shared" si="4"/>
        <v>DIFAL</v>
      </c>
      <c r="G128" s="38">
        <v>18</v>
      </c>
      <c r="H128" s="42">
        <v>10</v>
      </c>
      <c r="I128" s="42">
        <v>0</v>
      </c>
      <c r="J128" s="11"/>
      <c r="K128" s="28">
        <f t="shared" si="5"/>
        <v>0</v>
      </c>
      <c r="L128" s="12">
        <f t="shared" si="6"/>
        <v>0</v>
      </c>
      <c r="M128" s="12">
        <f t="shared" si="7"/>
        <v>0</v>
      </c>
    </row>
    <row r="129" spans="1:14" x14ac:dyDescent="0.25">
      <c r="A129" s="6" t="s">
        <v>257</v>
      </c>
      <c r="B129" s="50" t="s">
        <v>258</v>
      </c>
      <c r="C129" s="6" t="s">
        <v>134</v>
      </c>
      <c r="D129" s="7" t="s">
        <v>18</v>
      </c>
      <c r="E129" s="7" t="s">
        <v>26</v>
      </c>
      <c r="F129" s="6" t="str">
        <f t="shared" si="4"/>
        <v>DIFAL</v>
      </c>
      <c r="G129" s="38">
        <v>18</v>
      </c>
      <c r="H129" s="42">
        <v>10</v>
      </c>
      <c r="I129" s="42">
        <v>0</v>
      </c>
      <c r="J129" s="11"/>
      <c r="K129" s="28">
        <f t="shared" si="5"/>
        <v>0</v>
      </c>
      <c r="L129" s="12">
        <f t="shared" si="6"/>
        <v>0</v>
      </c>
      <c r="M129" s="12">
        <f t="shared" si="7"/>
        <v>0</v>
      </c>
    </row>
    <row r="130" spans="1:14" x14ac:dyDescent="0.25">
      <c r="A130" s="6" t="s">
        <v>259</v>
      </c>
      <c r="B130" s="50" t="s">
        <v>260</v>
      </c>
      <c r="C130" s="6" t="s">
        <v>134</v>
      </c>
      <c r="D130" s="7" t="s">
        <v>18</v>
      </c>
      <c r="E130" s="7" t="s">
        <v>26</v>
      </c>
      <c r="F130" s="6" t="str">
        <f t="shared" ref="F130:F193" si="8">IF(C130="C/ST","ICMS-ST","DIFAL")</f>
        <v>DIFAL</v>
      </c>
      <c r="G130" s="38">
        <v>18</v>
      </c>
      <c r="H130" s="42">
        <v>10</v>
      </c>
      <c r="I130" s="42">
        <v>0</v>
      </c>
      <c r="J130" s="11"/>
      <c r="K130" s="28">
        <f t="shared" ref="K130:K193" si="9">IF(D130="EXTERNA",IF(C130="C/ST",IF(E130="IMPORTADA",J130*G130%,J130*H130%),IF(E130="NACIONAL",J130*H130%,J130*G130%)),0)</f>
        <v>0</v>
      </c>
      <c r="L130" s="12">
        <f t="shared" ref="L130:L193" si="10">IF(AND(C130="C/ST",F130="ICMS-ST", D130="INTERNA"),(J130*I130%),0)</f>
        <v>0</v>
      </c>
      <c r="M130" s="12">
        <f t="shared" ref="M130:M193" si="11">J130+K130+L130</f>
        <v>0</v>
      </c>
    </row>
    <row r="131" spans="1:14" x14ac:dyDescent="0.25">
      <c r="A131" s="6" t="s">
        <v>261</v>
      </c>
      <c r="B131" s="50" t="s">
        <v>262</v>
      </c>
      <c r="C131" s="6" t="s">
        <v>134</v>
      </c>
      <c r="D131" s="7" t="s">
        <v>18</v>
      </c>
      <c r="E131" s="7" t="s">
        <v>26</v>
      </c>
      <c r="F131" s="6" t="str">
        <f t="shared" si="8"/>
        <v>DIFAL</v>
      </c>
      <c r="G131" s="38">
        <v>18</v>
      </c>
      <c r="H131" s="42">
        <v>10</v>
      </c>
      <c r="I131" s="42">
        <v>0</v>
      </c>
      <c r="J131" s="11"/>
      <c r="K131" s="28">
        <f t="shared" si="9"/>
        <v>0</v>
      </c>
      <c r="L131" s="12">
        <f t="shared" si="10"/>
        <v>0</v>
      </c>
      <c r="M131" s="12">
        <f t="shared" si="11"/>
        <v>0</v>
      </c>
    </row>
    <row r="132" spans="1:14" x14ac:dyDescent="0.25">
      <c r="A132" s="6" t="s">
        <v>263</v>
      </c>
      <c r="B132" s="50" t="s">
        <v>264</v>
      </c>
      <c r="C132" s="6" t="s">
        <v>134</v>
      </c>
      <c r="D132" s="7" t="s">
        <v>18</v>
      </c>
      <c r="E132" s="7" t="s">
        <v>26</v>
      </c>
      <c r="F132" s="6" t="str">
        <f t="shared" si="8"/>
        <v>DIFAL</v>
      </c>
      <c r="G132" s="38">
        <v>18</v>
      </c>
      <c r="H132" s="42">
        <v>10</v>
      </c>
      <c r="I132" s="42">
        <v>0</v>
      </c>
      <c r="J132" s="11"/>
      <c r="K132" s="28">
        <f t="shared" si="9"/>
        <v>0</v>
      </c>
      <c r="L132" s="12">
        <f t="shared" si="10"/>
        <v>0</v>
      </c>
      <c r="M132" s="12">
        <f t="shared" si="11"/>
        <v>0</v>
      </c>
    </row>
    <row r="133" spans="1:14" x14ac:dyDescent="0.25">
      <c r="A133" s="6" t="s">
        <v>265</v>
      </c>
      <c r="B133" s="50" t="s">
        <v>266</v>
      </c>
      <c r="C133" s="6" t="s">
        <v>134</v>
      </c>
      <c r="D133" s="7" t="s">
        <v>18</v>
      </c>
      <c r="E133" s="7" t="s">
        <v>26</v>
      </c>
      <c r="F133" s="6" t="str">
        <f t="shared" si="8"/>
        <v>DIFAL</v>
      </c>
      <c r="G133" s="38">
        <v>18</v>
      </c>
      <c r="H133" s="42">
        <v>10</v>
      </c>
      <c r="I133" s="42">
        <v>0</v>
      </c>
      <c r="J133" s="11"/>
      <c r="K133" s="28">
        <f t="shared" si="9"/>
        <v>0</v>
      </c>
      <c r="L133" s="12">
        <f t="shared" si="10"/>
        <v>0</v>
      </c>
      <c r="M133" s="12">
        <f t="shared" si="11"/>
        <v>0</v>
      </c>
    </row>
    <row r="134" spans="1:14" x14ac:dyDescent="0.25">
      <c r="A134" s="6" t="s">
        <v>267</v>
      </c>
      <c r="B134" s="50" t="s">
        <v>268</v>
      </c>
      <c r="C134" s="6" t="s">
        <v>134</v>
      </c>
      <c r="D134" s="7" t="s">
        <v>18</v>
      </c>
      <c r="E134" s="7" t="s">
        <v>26</v>
      </c>
      <c r="F134" s="6" t="str">
        <f t="shared" si="8"/>
        <v>DIFAL</v>
      </c>
      <c r="G134" s="38">
        <v>18</v>
      </c>
      <c r="H134" s="42">
        <v>10</v>
      </c>
      <c r="I134" s="42">
        <v>0</v>
      </c>
      <c r="J134" s="11"/>
      <c r="K134" s="28">
        <f t="shared" si="9"/>
        <v>0</v>
      </c>
      <c r="L134" s="12">
        <f t="shared" si="10"/>
        <v>0</v>
      </c>
      <c r="M134" s="12">
        <f t="shared" si="11"/>
        <v>0</v>
      </c>
    </row>
    <row r="135" spans="1:14" x14ac:dyDescent="0.25">
      <c r="A135" s="6" t="s">
        <v>269</v>
      </c>
      <c r="B135" s="50" t="s">
        <v>270</v>
      </c>
      <c r="C135" s="6" t="s">
        <v>134</v>
      </c>
      <c r="D135" s="7" t="s">
        <v>18</v>
      </c>
      <c r="E135" s="7" t="s">
        <v>26</v>
      </c>
      <c r="F135" s="6" t="str">
        <f t="shared" si="8"/>
        <v>DIFAL</v>
      </c>
      <c r="G135" s="38">
        <v>18</v>
      </c>
      <c r="H135" s="42">
        <v>10</v>
      </c>
      <c r="I135" s="42">
        <v>0</v>
      </c>
      <c r="J135" s="11"/>
      <c r="K135" s="28">
        <f t="shared" si="9"/>
        <v>0</v>
      </c>
      <c r="L135" s="12">
        <f t="shared" si="10"/>
        <v>0</v>
      </c>
      <c r="M135" s="12">
        <f t="shared" si="11"/>
        <v>0</v>
      </c>
    </row>
    <row r="136" spans="1:14" x14ac:dyDescent="0.25">
      <c r="A136" s="6" t="s">
        <v>102</v>
      </c>
      <c r="B136" s="50" t="s">
        <v>271</v>
      </c>
      <c r="C136" s="6" t="s">
        <v>134</v>
      </c>
      <c r="D136" s="7" t="s">
        <v>18</v>
      </c>
      <c r="E136" s="7" t="s">
        <v>26</v>
      </c>
      <c r="F136" s="6" t="str">
        <f t="shared" si="8"/>
        <v>DIFAL</v>
      </c>
      <c r="G136" s="38">
        <v>18</v>
      </c>
      <c r="H136" s="42">
        <v>10</v>
      </c>
      <c r="I136" s="42">
        <v>0</v>
      </c>
      <c r="J136" s="11"/>
      <c r="K136" s="28">
        <f t="shared" si="9"/>
        <v>0</v>
      </c>
      <c r="L136" s="12">
        <f t="shared" si="10"/>
        <v>0</v>
      </c>
      <c r="M136" s="12">
        <f t="shared" si="11"/>
        <v>0</v>
      </c>
    </row>
    <row r="137" spans="1:14" x14ac:dyDescent="0.25">
      <c r="A137" s="6" t="s">
        <v>85</v>
      </c>
      <c r="B137" s="50" t="s">
        <v>272</v>
      </c>
      <c r="C137" s="6" t="s">
        <v>134</v>
      </c>
      <c r="D137" s="7" t="s">
        <v>18</v>
      </c>
      <c r="E137" s="7" t="s">
        <v>26</v>
      </c>
      <c r="F137" s="6" t="str">
        <f t="shared" si="8"/>
        <v>DIFAL</v>
      </c>
      <c r="G137" s="38">
        <v>18</v>
      </c>
      <c r="H137" s="42">
        <v>10</v>
      </c>
      <c r="I137" s="42">
        <v>0</v>
      </c>
      <c r="J137" s="11"/>
      <c r="K137" s="28">
        <f t="shared" si="9"/>
        <v>0</v>
      </c>
      <c r="L137" s="12">
        <f t="shared" si="10"/>
        <v>0</v>
      </c>
      <c r="M137" s="12">
        <f t="shared" si="11"/>
        <v>0</v>
      </c>
    </row>
    <row r="138" spans="1:14" x14ac:dyDescent="0.25">
      <c r="A138" s="6" t="s">
        <v>119</v>
      </c>
      <c r="B138" s="50" t="s">
        <v>273</v>
      </c>
      <c r="C138" s="6" t="s">
        <v>134</v>
      </c>
      <c r="D138" s="7" t="s">
        <v>18</v>
      </c>
      <c r="E138" s="7" t="s">
        <v>26</v>
      </c>
      <c r="F138" s="6" t="str">
        <f t="shared" si="8"/>
        <v>DIFAL</v>
      </c>
      <c r="G138" s="38">
        <v>18</v>
      </c>
      <c r="H138" s="42">
        <v>10</v>
      </c>
      <c r="I138" s="42">
        <v>0</v>
      </c>
      <c r="J138" s="11"/>
      <c r="K138" s="28">
        <f t="shared" si="9"/>
        <v>0</v>
      </c>
      <c r="L138" s="12">
        <f t="shared" si="10"/>
        <v>0</v>
      </c>
      <c r="M138" s="12">
        <f t="shared" si="11"/>
        <v>0</v>
      </c>
      <c r="N138" t="s">
        <v>23</v>
      </c>
    </row>
    <row r="139" spans="1:14" x14ac:dyDescent="0.25">
      <c r="A139" s="6" t="s">
        <v>15</v>
      </c>
      <c r="B139" s="50" t="s">
        <v>274</v>
      </c>
      <c r="C139" s="6" t="s">
        <v>134</v>
      </c>
      <c r="D139" s="7" t="s">
        <v>18</v>
      </c>
      <c r="E139" s="7" t="s">
        <v>26</v>
      </c>
      <c r="F139" s="6" t="str">
        <f t="shared" si="8"/>
        <v>DIFAL</v>
      </c>
      <c r="G139" s="38">
        <v>18</v>
      </c>
      <c r="H139" s="42">
        <v>10</v>
      </c>
      <c r="I139" s="42">
        <v>0</v>
      </c>
      <c r="J139" s="11"/>
      <c r="K139" s="28">
        <f t="shared" si="9"/>
        <v>0</v>
      </c>
      <c r="L139" s="12">
        <f t="shared" si="10"/>
        <v>0</v>
      </c>
      <c r="M139" s="12">
        <f t="shared" si="11"/>
        <v>0</v>
      </c>
    </row>
    <row r="140" spans="1:14" x14ac:dyDescent="0.25">
      <c r="A140" s="6" t="s">
        <v>275</v>
      </c>
      <c r="B140" s="50" t="s">
        <v>276</v>
      </c>
      <c r="C140" s="6" t="s">
        <v>134</v>
      </c>
      <c r="D140" s="7" t="s">
        <v>18</v>
      </c>
      <c r="E140" s="7" t="s">
        <v>26</v>
      </c>
      <c r="F140" s="6" t="str">
        <f t="shared" si="8"/>
        <v>DIFAL</v>
      </c>
      <c r="G140" s="38">
        <v>18</v>
      </c>
      <c r="H140" s="42">
        <v>10</v>
      </c>
      <c r="I140" s="42">
        <v>0</v>
      </c>
      <c r="J140" s="11"/>
      <c r="K140" s="28">
        <f t="shared" si="9"/>
        <v>0</v>
      </c>
      <c r="L140" s="12">
        <f t="shared" si="10"/>
        <v>0</v>
      </c>
      <c r="M140" s="12">
        <f t="shared" si="11"/>
        <v>0</v>
      </c>
    </row>
    <row r="141" spans="1:14" x14ac:dyDescent="0.25">
      <c r="A141" s="6" t="s">
        <v>277</v>
      </c>
      <c r="B141" s="50" t="s">
        <v>278</v>
      </c>
      <c r="C141" s="6" t="s">
        <v>134</v>
      </c>
      <c r="D141" s="7" t="s">
        <v>18</v>
      </c>
      <c r="E141" s="7" t="s">
        <v>26</v>
      </c>
      <c r="F141" s="6" t="str">
        <f t="shared" si="8"/>
        <v>DIFAL</v>
      </c>
      <c r="G141" s="38">
        <v>18</v>
      </c>
      <c r="H141" s="42">
        <v>10</v>
      </c>
      <c r="I141" s="42">
        <v>0</v>
      </c>
      <c r="J141" s="11"/>
      <c r="K141" s="28">
        <f t="shared" si="9"/>
        <v>0</v>
      </c>
      <c r="L141" s="12">
        <f t="shared" si="10"/>
        <v>0</v>
      </c>
      <c r="M141" s="12">
        <f t="shared" si="11"/>
        <v>0</v>
      </c>
    </row>
    <row r="142" spans="1:14" x14ac:dyDescent="0.25">
      <c r="A142" s="6" t="s">
        <v>279</v>
      </c>
      <c r="B142" s="50" t="s">
        <v>280</v>
      </c>
      <c r="C142" s="6" t="s">
        <v>134</v>
      </c>
      <c r="D142" s="7" t="s">
        <v>18</v>
      </c>
      <c r="E142" s="7" t="s">
        <v>26</v>
      </c>
      <c r="F142" s="6" t="str">
        <f t="shared" si="8"/>
        <v>DIFAL</v>
      </c>
      <c r="G142" s="38">
        <v>18</v>
      </c>
      <c r="H142" s="42">
        <v>10</v>
      </c>
      <c r="I142" s="42">
        <v>0</v>
      </c>
      <c r="J142" s="11"/>
      <c r="K142" s="28">
        <f t="shared" si="9"/>
        <v>0</v>
      </c>
      <c r="L142" s="12">
        <f t="shared" si="10"/>
        <v>0</v>
      </c>
      <c r="M142" s="12">
        <f t="shared" si="11"/>
        <v>0</v>
      </c>
      <c r="N142" t="s">
        <v>23</v>
      </c>
    </row>
    <row r="143" spans="1:14" x14ac:dyDescent="0.25">
      <c r="A143" s="6" t="s">
        <v>281</v>
      </c>
      <c r="B143" s="50" t="s">
        <v>282</v>
      </c>
      <c r="C143" s="6" t="s">
        <v>134</v>
      </c>
      <c r="D143" s="7" t="s">
        <v>18</v>
      </c>
      <c r="E143" s="7" t="s">
        <v>26</v>
      </c>
      <c r="F143" s="6" t="str">
        <f t="shared" si="8"/>
        <v>DIFAL</v>
      </c>
      <c r="G143" s="38">
        <v>18</v>
      </c>
      <c r="H143" s="42">
        <v>10</v>
      </c>
      <c r="I143" s="42">
        <v>0</v>
      </c>
      <c r="J143" s="11"/>
      <c r="K143" s="28">
        <f t="shared" si="9"/>
        <v>0</v>
      </c>
      <c r="L143" s="12">
        <f t="shared" si="10"/>
        <v>0</v>
      </c>
      <c r="M143" s="12">
        <f t="shared" si="11"/>
        <v>0</v>
      </c>
    </row>
    <row r="144" spans="1:14" x14ac:dyDescent="0.25">
      <c r="A144" s="6" t="s">
        <v>91</v>
      </c>
      <c r="B144" s="50" t="s">
        <v>283</v>
      </c>
      <c r="C144" s="6" t="s">
        <v>134</v>
      </c>
      <c r="D144" s="7" t="s">
        <v>18</v>
      </c>
      <c r="E144" s="7" t="s">
        <v>26</v>
      </c>
      <c r="F144" s="6" t="str">
        <f t="shared" si="8"/>
        <v>DIFAL</v>
      </c>
      <c r="G144" s="38">
        <v>18</v>
      </c>
      <c r="H144" s="42">
        <v>10</v>
      </c>
      <c r="I144" s="42">
        <v>0</v>
      </c>
      <c r="J144" s="11"/>
      <c r="K144" s="28">
        <f t="shared" si="9"/>
        <v>0</v>
      </c>
      <c r="L144" s="12">
        <f t="shared" si="10"/>
        <v>0</v>
      </c>
      <c r="M144" s="12">
        <f t="shared" si="11"/>
        <v>0</v>
      </c>
      <c r="N144" t="s">
        <v>23</v>
      </c>
    </row>
    <row r="145" spans="1:14" x14ac:dyDescent="0.25">
      <c r="A145" s="6" t="s">
        <v>284</v>
      </c>
      <c r="B145" s="50" t="s">
        <v>285</v>
      </c>
      <c r="C145" s="6" t="s">
        <v>134</v>
      </c>
      <c r="D145" s="7" t="s">
        <v>18</v>
      </c>
      <c r="E145" s="7" t="s">
        <v>26</v>
      </c>
      <c r="F145" s="6" t="str">
        <f t="shared" si="8"/>
        <v>DIFAL</v>
      </c>
      <c r="G145" s="38">
        <v>18</v>
      </c>
      <c r="H145" s="42">
        <v>10</v>
      </c>
      <c r="I145" s="42">
        <v>0</v>
      </c>
      <c r="J145" s="11"/>
      <c r="K145" s="28">
        <f t="shared" si="9"/>
        <v>0</v>
      </c>
      <c r="L145" s="12">
        <f t="shared" si="10"/>
        <v>0</v>
      </c>
      <c r="M145" s="12">
        <f t="shared" si="11"/>
        <v>0</v>
      </c>
      <c r="N145" t="s">
        <v>23</v>
      </c>
    </row>
    <row r="146" spans="1:14" x14ac:dyDescent="0.25">
      <c r="A146" s="6" t="s">
        <v>286</v>
      </c>
      <c r="B146" s="50" t="s">
        <v>287</v>
      </c>
      <c r="C146" s="6" t="s">
        <v>134</v>
      </c>
      <c r="D146" s="7" t="s">
        <v>18</v>
      </c>
      <c r="E146" s="7" t="s">
        <v>26</v>
      </c>
      <c r="F146" s="6" t="str">
        <f t="shared" si="8"/>
        <v>DIFAL</v>
      </c>
      <c r="G146" s="38">
        <v>18</v>
      </c>
      <c r="H146" s="42">
        <v>10</v>
      </c>
      <c r="I146" s="42">
        <v>0</v>
      </c>
      <c r="J146" s="11"/>
      <c r="K146" s="28">
        <f t="shared" si="9"/>
        <v>0</v>
      </c>
      <c r="L146" s="12">
        <f t="shared" si="10"/>
        <v>0</v>
      </c>
      <c r="M146" s="12">
        <f t="shared" si="11"/>
        <v>0</v>
      </c>
      <c r="N146" t="s">
        <v>23</v>
      </c>
    </row>
    <row r="147" spans="1:14" x14ac:dyDescent="0.25">
      <c r="A147" s="6" t="s">
        <v>288</v>
      </c>
      <c r="B147" s="50" t="s">
        <v>289</v>
      </c>
      <c r="C147" s="6" t="s">
        <v>134</v>
      </c>
      <c r="D147" s="7" t="s">
        <v>18</v>
      </c>
      <c r="E147" s="7" t="s">
        <v>26</v>
      </c>
      <c r="F147" s="6" t="str">
        <f t="shared" si="8"/>
        <v>DIFAL</v>
      </c>
      <c r="G147" s="38">
        <v>18</v>
      </c>
      <c r="H147" s="42">
        <v>10</v>
      </c>
      <c r="I147" s="42">
        <v>0</v>
      </c>
      <c r="J147" s="11"/>
      <c r="K147" s="28">
        <f t="shared" si="9"/>
        <v>0</v>
      </c>
      <c r="L147" s="12">
        <f t="shared" si="10"/>
        <v>0</v>
      </c>
      <c r="M147" s="12">
        <f t="shared" si="11"/>
        <v>0</v>
      </c>
    </row>
    <row r="148" spans="1:14" x14ac:dyDescent="0.25">
      <c r="A148" s="6" t="s">
        <v>290</v>
      </c>
      <c r="B148" s="50" t="s">
        <v>291</v>
      </c>
      <c r="C148" s="6" t="s">
        <v>134</v>
      </c>
      <c r="D148" s="7" t="s">
        <v>18</v>
      </c>
      <c r="E148" s="7" t="s">
        <v>26</v>
      </c>
      <c r="F148" s="6" t="str">
        <f t="shared" si="8"/>
        <v>DIFAL</v>
      </c>
      <c r="G148" s="38">
        <v>18</v>
      </c>
      <c r="H148" s="42">
        <v>10</v>
      </c>
      <c r="I148" s="42">
        <v>0</v>
      </c>
      <c r="J148" s="11"/>
      <c r="K148" s="28">
        <f t="shared" si="9"/>
        <v>0</v>
      </c>
      <c r="L148" s="12">
        <f t="shared" si="10"/>
        <v>0</v>
      </c>
      <c r="M148" s="12">
        <f t="shared" si="11"/>
        <v>0</v>
      </c>
    </row>
    <row r="149" spans="1:14" x14ac:dyDescent="0.25">
      <c r="A149" s="6" t="s">
        <v>38</v>
      </c>
      <c r="B149" s="50" t="s">
        <v>292</v>
      </c>
      <c r="C149" s="6" t="s">
        <v>134</v>
      </c>
      <c r="D149" s="7" t="s">
        <v>18</v>
      </c>
      <c r="E149" s="7" t="s">
        <v>26</v>
      </c>
      <c r="F149" s="6" t="str">
        <f t="shared" si="8"/>
        <v>DIFAL</v>
      </c>
      <c r="G149" s="38">
        <v>18</v>
      </c>
      <c r="H149" s="42">
        <v>10</v>
      </c>
      <c r="I149" s="42">
        <v>0</v>
      </c>
      <c r="J149" s="11"/>
      <c r="K149" s="28">
        <f t="shared" si="9"/>
        <v>0</v>
      </c>
      <c r="L149" s="12">
        <f t="shared" si="10"/>
        <v>0</v>
      </c>
      <c r="M149" s="12">
        <f t="shared" si="11"/>
        <v>0</v>
      </c>
    </row>
    <row r="150" spans="1:14" x14ac:dyDescent="0.25">
      <c r="A150" s="6" t="s">
        <v>52</v>
      </c>
      <c r="B150" s="50" t="s">
        <v>293</v>
      </c>
      <c r="C150" s="6" t="s">
        <v>134</v>
      </c>
      <c r="D150" s="7" t="s">
        <v>18</v>
      </c>
      <c r="E150" s="7" t="s">
        <v>26</v>
      </c>
      <c r="F150" s="6" t="str">
        <f t="shared" si="8"/>
        <v>DIFAL</v>
      </c>
      <c r="G150" s="38">
        <v>18</v>
      </c>
      <c r="H150" s="42">
        <v>10</v>
      </c>
      <c r="I150" s="42">
        <v>0</v>
      </c>
      <c r="J150" s="11"/>
      <c r="K150" s="28">
        <f t="shared" si="9"/>
        <v>0</v>
      </c>
      <c r="L150" s="12">
        <f t="shared" si="10"/>
        <v>0</v>
      </c>
      <c r="M150" s="12">
        <f t="shared" si="11"/>
        <v>0</v>
      </c>
    </row>
    <row r="151" spans="1:14" x14ac:dyDescent="0.25">
      <c r="A151" s="6" t="s">
        <v>294</v>
      </c>
      <c r="B151" s="50" t="s">
        <v>295</v>
      </c>
      <c r="C151" s="6" t="s">
        <v>134</v>
      </c>
      <c r="D151" s="7" t="s">
        <v>18</v>
      </c>
      <c r="E151" s="7" t="s">
        <v>26</v>
      </c>
      <c r="F151" s="6" t="str">
        <f t="shared" si="8"/>
        <v>DIFAL</v>
      </c>
      <c r="G151" s="38">
        <v>18</v>
      </c>
      <c r="H151" s="42">
        <v>10</v>
      </c>
      <c r="I151" s="42">
        <v>0</v>
      </c>
      <c r="J151" s="11"/>
      <c r="K151" s="28">
        <f t="shared" si="9"/>
        <v>0</v>
      </c>
      <c r="L151" s="12">
        <f t="shared" si="10"/>
        <v>0</v>
      </c>
      <c r="M151" s="12">
        <f t="shared" si="11"/>
        <v>0</v>
      </c>
    </row>
    <row r="152" spans="1:14" x14ac:dyDescent="0.25">
      <c r="A152" s="6" t="s">
        <v>54</v>
      </c>
      <c r="B152" s="50" t="s">
        <v>296</v>
      </c>
      <c r="C152" s="6" t="s">
        <v>134</v>
      </c>
      <c r="D152" s="7" t="s">
        <v>18</v>
      </c>
      <c r="E152" s="7" t="s">
        <v>26</v>
      </c>
      <c r="F152" s="6" t="str">
        <f t="shared" si="8"/>
        <v>DIFAL</v>
      </c>
      <c r="G152" s="38">
        <v>18</v>
      </c>
      <c r="H152" s="42">
        <v>10</v>
      </c>
      <c r="I152" s="42">
        <v>0</v>
      </c>
      <c r="J152" s="11"/>
      <c r="K152" s="28">
        <f t="shared" si="9"/>
        <v>0</v>
      </c>
      <c r="L152" s="12">
        <f t="shared" si="10"/>
        <v>0</v>
      </c>
      <c r="M152" s="12">
        <f t="shared" si="11"/>
        <v>0</v>
      </c>
      <c r="N152" t="s">
        <v>23</v>
      </c>
    </row>
    <row r="153" spans="1:14" x14ac:dyDescent="0.25">
      <c r="A153" s="6" t="s">
        <v>297</v>
      </c>
      <c r="B153" s="50" t="s">
        <v>298</v>
      </c>
      <c r="C153" s="6" t="s">
        <v>134</v>
      </c>
      <c r="D153" s="7" t="s">
        <v>18</v>
      </c>
      <c r="E153" s="7" t="s">
        <v>26</v>
      </c>
      <c r="F153" s="6" t="str">
        <f t="shared" si="8"/>
        <v>DIFAL</v>
      </c>
      <c r="G153" s="38">
        <v>18</v>
      </c>
      <c r="H153" s="42">
        <v>10</v>
      </c>
      <c r="I153" s="42">
        <v>0</v>
      </c>
      <c r="J153" s="11"/>
      <c r="K153" s="28">
        <f t="shared" si="9"/>
        <v>0</v>
      </c>
      <c r="L153" s="12">
        <f t="shared" si="10"/>
        <v>0</v>
      </c>
      <c r="M153" s="12">
        <f t="shared" si="11"/>
        <v>0</v>
      </c>
    </row>
    <row r="154" spans="1:14" x14ac:dyDescent="0.25">
      <c r="A154" s="6" t="s">
        <v>299</v>
      </c>
      <c r="B154" s="50" t="s">
        <v>300</v>
      </c>
      <c r="C154" s="6" t="s">
        <v>134</v>
      </c>
      <c r="D154" s="7" t="s">
        <v>18</v>
      </c>
      <c r="E154" s="7" t="s">
        <v>26</v>
      </c>
      <c r="F154" s="6" t="str">
        <f t="shared" si="8"/>
        <v>DIFAL</v>
      </c>
      <c r="G154" s="38">
        <v>18</v>
      </c>
      <c r="H154" s="42">
        <v>10</v>
      </c>
      <c r="I154" s="42">
        <v>0</v>
      </c>
      <c r="J154" s="11"/>
      <c r="K154" s="28">
        <f t="shared" si="9"/>
        <v>0</v>
      </c>
      <c r="L154" s="12">
        <f t="shared" si="10"/>
        <v>0</v>
      </c>
      <c r="M154" s="12">
        <f t="shared" si="11"/>
        <v>0</v>
      </c>
    </row>
    <row r="155" spans="1:14" x14ac:dyDescent="0.25">
      <c r="A155" s="6" t="s">
        <v>301</v>
      </c>
      <c r="B155" s="50" t="s">
        <v>302</v>
      </c>
      <c r="C155" s="6" t="s">
        <v>134</v>
      </c>
      <c r="D155" s="7" t="s">
        <v>18</v>
      </c>
      <c r="E155" s="7" t="s">
        <v>26</v>
      </c>
      <c r="F155" s="6" t="str">
        <f t="shared" si="8"/>
        <v>DIFAL</v>
      </c>
      <c r="G155" s="38">
        <v>18</v>
      </c>
      <c r="H155" s="42">
        <v>10</v>
      </c>
      <c r="I155" s="42">
        <v>0</v>
      </c>
      <c r="J155" s="11"/>
      <c r="K155" s="28">
        <f t="shared" si="9"/>
        <v>0</v>
      </c>
      <c r="L155" s="12">
        <f t="shared" si="10"/>
        <v>0</v>
      </c>
      <c r="M155" s="12">
        <f t="shared" si="11"/>
        <v>0</v>
      </c>
    </row>
    <row r="156" spans="1:14" x14ac:dyDescent="0.25">
      <c r="A156" s="6" t="s">
        <v>303</v>
      </c>
      <c r="B156" s="50" t="s">
        <v>304</v>
      </c>
      <c r="C156" s="6" t="s">
        <v>134</v>
      </c>
      <c r="D156" s="7" t="s">
        <v>18</v>
      </c>
      <c r="E156" s="7" t="s">
        <v>26</v>
      </c>
      <c r="F156" s="6" t="str">
        <f t="shared" si="8"/>
        <v>DIFAL</v>
      </c>
      <c r="G156" s="38">
        <v>18</v>
      </c>
      <c r="H156" s="42">
        <v>10</v>
      </c>
      <c r="I156" s="42">
        <v>0</v>
      </c>
      <c r="J156" s="11"/>
      <c r="K156" s="28">
        <f t="shared" si="9"/>
        <v>0</v>
      </c>
      <c r="L156" s="12">
        <f t="shared" si="10"/>
        <v>0</v>
      </c>
      <c r="M156" s="12">
        <f t="shared" si="11"/>
        <v>0</v>
      </c>
    </row>
    <row r="157" spans="1:14" x14ac:dyDescent="0.25">
      <c r="A157" s="6" t="s">
        <v>305</v>
      </c>
      <c r="B157" s="50" t="s">
        <v>306</v>
      </c>
      <c r="C157" s="6" t="s">
        <v>134</v>
      </c>
      <c r="D157" s="7" t="s">
        <v>18</v>
      </c>
      <c r="E157" s="7" t="s">
        <v>26</v>
      </c>
      <c r="F157" s="6" t="str">
        <f t="shared" si="8"/>
        <v>DIFAL</v>
      </c>
      <c r="G157" s="38">
        <v>18</v>
      </c>
      <c r="H157" s="42">
        <v>10</v>
      </c>
      <c r="I157" s="42">
        <v>0</v>
      </c>
      <c r="J157" s="11"/>
      <c r="K157" s="28">
        <f t="shared" si="9"/>
        <v>0</v>
      </c>
      <c r="L157" s="12">
        <f t="shared" si="10"/>
        <v>0</v>
      </c>
      <c r="M157" s="12">
        <f t="shared" si="11"/>
        <v>0</v>
      </c>
    </row>
    <row r="158" spans="1:14" x14ac:dyDescent="0.25">
      <c r="A158" s="6" t="s">
        <v>307</v>
      </c>
      <c r="B158" s="50" t="s">
        <v>308</v>
      </c>
      <c r="C158" s="6" t="s">
        <v>134</v>
      </c>
      <c r="D158" s="7" t="s">
        <v>18</v>
      </c>
      <c r="E158" s="7" t="s">
        <v>26</v>
      </c>
      <c r="F158" s="6" t="str">
        <f t="shared" si="8"/>
        <v>DIFAL</v>
      </c>
      <c r="G158" s="38">
        <v>18</v>
      </c>
      <c r="H158" s="42">
        <v>10</v>
      </c>
      <c r="I158" s="42">
        <v>0</v>
      </c>
      <c r="J158" s="11"/>
      <c r="K158" s="28">
        <f t="shared" si="9"/>
        <v>0</v>
      </c>
      <c r="L158" s="12">
        <f t="shared" si="10"/>
        <v>0</v>
      </c>
      <c r="M158" s="12">
        <f t="shared" si="11"/>
        <v>0</v>
      </c>
    </row>
    <row r="159" spans="1:14" x14ac:dyDescent="0.25">
      <c r="A159" s="6" t="s">
        <v>309</v>
      </c>
      <c r="B159" s="50" t="s">
        <v>310</v>
      </c>
      <c r="C159" s="6" t="s">
        <v>134</v>
      </c>
      <c r="D159" s="7" t="s">
        <v>18</v>
      </c>
      <c r="E159" s="7" t="s">
        <v>26</v>
      </c>
      <c r="F159" s="6" t="str">
        <f t="shared" si="8"/>
        <v>DIFAL</v>
      </c>
      <c r="G159" s="38">
        <v>18</v>
      </c>
      <c r="H159" s="42">
        <v>10</v>
      </c>
      <c r="I159" s="42">
        <v>0</v>
      </c>
      <c r="J159" s="11"/>
      <c r="K159" s="28">
        <f t="shared" si="9"/>
        <v>0</v>
      </c>
      <c r="L159" s="12">
        <f t="shared" si="10"/>
        <v>0</v>
      </c>
      <c r="M159" s="12">
        <f t="shared" si="11"/>
        <v>0</v>
      </c>
    </row>
    <row r="160" spans="1:14" x14ac:dyDescent="0.25">
      <c r="A160" s="6" t="s">
        <v>311</v>
      </c>
      <c r="B160" s="50" t="s">
        <v>312</v>
      </c>
      <c r="C160" s="6" t="s">
        <v>134</v>
      </c>
      <c r="D160" s="7" t="s">
        <v>18</v>
      </c>
      <c r="E160" s="7" t="s">
        <v>26</v>
      </c>
      <c r="F160" s="6" t="str">
        <f t="shared" si="8"/>
        <v>DIFAL</v>
      </c>
      <c r="G160" s="38">
        <v>18</v>
      </c>
      <c r="H160" s="42">
        <v>10</v>
      </c>
      <c r="I160" s="42">
        <v>0</v>
      </c>
      <c r="J160" s="11"/>
      <c r="K160" s="28">
        <f t="shared" si="9"/>
        <v>0</v>
      </c>
      <c r="L160" s="12">
        <f t="shared" si="10"/>
        <v>0</v>
      </c>
      <c r="M160" s="12">
        <f t="shared" si="11"/>
        <v>0</v>
      </c>
    </row>
    <row r="161" spans="1:13" x14ac:dyDescent="0.25">
      <c r="A161" s="6" t="s">
        <v>313</v>
      </c>
      <c r="B161" s="50" t="s">
        <v>314</v>
      </c>
      <c r="C161" s="6" t="s">
        <v>134</v>
      </c>
      <c r="D161" s="7" t="s">
        <v>18</v>
      </c>
      <c r="E161" s="7" t="s">
        <v>26</v>
      </c>
      <c r="F161" s="6" t="str">
        <f t="shared" si="8"/>
        <v>DIFAL</v>
      </c>
      <c r="G161" s="38">
        <v>18</v>
      </c>
      <c r="H161" s="42">
        <v>10</v>
      </c>
      <c r="I161" s="42">
        <v>0</v>
      </c>
      <c r="J161" s="11"/>
      <c r="K161" s="28">
        <f t="shared" si="9"/>
        <v>0</v>
      </c>
      <c r="L161" s="12">
        <f t="shared" si="10"/>
        <v>0</v>
      </c>
      <c r="M161" s="12">
        <f t="shared" si="11"/>
        <v>0</v>
      </c>
    </row>
    <row r="162" spans="1:13" x14ac:dyDescent="0.25">
      <c r="A162" s="6" t="s">
        <v>315</v>
      </c>
      <c r="B162" s="50" t="s">
        <v>316</v>
      </c>
      <c r="C162" s="6" t="s">
        <v>134</v>
      </c>
      <c r="D162" s="7" t="s">
        <v>18</v>
      </c>
      <c r="E162" s="7" t="s">
        <v>26</v>
      </c>
      <c r="F162" s="6" t="str">
        <f t="shared" si="8"/>
        <v>DIFAL</v>
      </c>
      <c r="G162" s="38">
        <v>18</v>
      </c>
      <c r="H162" s="42">
        <v>10</v>
      </c>
      <c r="I162" s="42">
        <v>0</v>
      </c>
      <c r="J162" s="11"/>
      <c r="K162" s="28">
        <f t="shared" si="9"/>
        <v>0</v>
      </c>
      <c r="L162" s="12">
        <f t="shared" si="10"/>
        <v>0</v>
      </c>
      <c r="M162" s="12">
        <f t="shared" si="11"/>
        <v>0</v>
      </c>
    </row>
    <row r="163" spans="1:13" x14ac:dyDescent="0.25">
      <c r="A163" s="6" t="s">
        <v>317</v>
      </c>
      <c r="B163" s="50" t="s">
        <v>318</v>
      </c>
      <c r="C163" s="6" t="s">
        <v>134</v>
      </c>
      <c r="D163" s="7" t="s">
        <v>18</v>
      </c>
      <c r="E163" s="7" t="s">
        <v>26</v>
      </c>
      <c r="F163" s="6" t="str">
        <f t="shared" si="8"/>
        <v>DIFAL</v>
      </c>
      <c r="G163" s="38">
        <v>18</v>
      </c>
      <c r="H163" s="42">
        <v>10</v>
      </c>
      <c r="I163" s="42">
        <v>0</v>
      </c>
      <c r="J163" s="11"/>
      <c r="K163" s="28">
        <f t="shared" si="9"/>
        <v>0</v>
      </c>
      <c r="L163" s="12">
        <f t="shared" si="10"/>
        <v>0</v>
      </c>
      <c r="M163" s="12">
        <f t="shared" si="11"/>
        <v>0</v>
      </c>
    </row>
    <row r="164" spans="1:13" x14ac:dyDescent="0.25">
      <c r="A164" s="6" t="s">
        <v>319</v>
      </c>
      <c r="B164" s="50" t="s">
        <v>320</v>
      </c>
      <c r="C164" s="6" t="s">
        <v>134</v>
      </c>
      <c r="D164" s="7" t="s">
        <v>18</v>
      </c>
      <c r="E164" s="7" t="s">
        <v>26</v>
      </c>
      <c r="F164" s="6" t="str">
        <f t="shared" si="8"/>
        <v>DIFAL</v>
      </c>
      <c r="G164" s="38">
        <v>18</v>
      </c>
      <c r="H164" s="42">
        <v>10</v>
      </c>
      <c r="I164" s="42">
        <v>0</v>
      </c>
      <c r="J164" s="11"/>
      <c r="K164" s="28">
        <f t="shared" si="9"/>
        <v>0</v>
      </c>
      <c r="L164" s="12">
        <f t="shared" si="10"/>
        <v>0</v>
      </c>
      <c r="M164" s="12">
        <f t="shared" si="11"/>
        <v>0</v>
      </c>
    </row>
    <row r="165" spans="1:13" x14ac:dyDescent="0.25">
      <c r="A165" s="6" t="s">
        <v>321</v>
      </c>
      <c r="B165" s="50" t="s">
        <v>322</v>
      </c>
      <c r="C165" s="6" t="s">
        <v>134</v>
      </c>
      <c r="D165" s="7" t="s">
        <v>18</v>
      </c>
      <c r="E165" s="7" t="s">
        <v>26</v>
      </c>
      <c r="F165" s="6" t="str">
        <f t="shared" si="8"/>
        <v>DIFAL</v>
      </c>
      <c r="G165" s="38">
        <v>18</v>
      </c>
      <c r="H165" s="42">
        <v>10</v>
      </c>
      <c r="I165" s="42">
        <v>0</v>
      </c>
      <c r="J165" s="11"/>
      <c r="K165" s="28">
        <f t="shared" si="9"/>
        <v>0</v>
      </c>
      <c r="L165" s="12">
        <f t="shared" si="10"/>
        <v>0</v>
      </c>
      <c r="M165" s="12">
        <f t="shared" si="11"/>
        <v>0</v>
      </c>
    </row>
    <row r="166" spans="1:13" x14ac:dyDescent="0.25">
      <c r="A166" s="6" t="s">
        <v>323</v>
      </c>
      <c r="B166" s="50" t="s">
        <v>324</v>
      </c>
      <c r="C166" s="6" t="s">
        <v>134</v>
      </c>
      <c r="D166" s="7" t="s">
        <v>18</v>
      </c>
      <c r="E166" s="7" t="s">
        <v>26</v>
      </c>
      <c r="F166" s="6" t="str">
        <f t="shared" si="8"/>
        <v>DIFAL</v>
      </c>
      <c r="G166" s="38">
        <v>18</v>
      </c>
      <c r="H166" s="42">
        <v>10</v>
      </c>
      <c r="I166" s="42">
        <v>0</v>
      </c>
      <c r="J166" s="11"/>
      <c r="K166" s="28">
        <f t="shared" si="9"/>
        <v>0</v>
      </c>
      <c r="L166" s="12">
        <f t="shared" si="10"/>
        <v>0</v>
      </c>
      <c r="M166" s="12">
        <f t="shared" si="11"/>
        <v>0</v>
      </c>
    </row>
    <row r="167" spans="1:13" x14ac:dyDescent="0.25">
      <c r="A167" s="6" t="s">
        <v>66</v>
      </c>
      <c r="B167" s="50" t="s">
        <v>325</v>
      </c>
      <c r="C167" s="6" t="s">
        <v>134</v>
      </c>
      <c r="D167" s="7" t="s">
        <v>18</v>
      </c>
      <c r="E167" s="7" t="s">
        <v>26</v>
      </c>
      <c r="F167" s="6" t="str">
        <f t="shared" si="8"/>
        <v>DIFAL</v>
      </c>
      <c r="G167" s="38">
        <v>18</v>
      </c>
      <c r="H167" s="42">
        <v>10</v>
      </c>
      <c r="I167" s="42">
        <v>0</v>
      </c>
      <c r="J167" s="11"/>
      <c r="K167" s="28">
        <f t="shared" si="9"/>
        <v>0</v>
      </c>
      <c r="L167" s="12">
        <f t="shared" si="10"/>
        <v>0</v>
      </c>
      <c r="M167" s="12">
        <f t="shared" si="11"/>
        <v>0</v>
      </c>
    </row>
    <row r="168" spans="1:13" x14ac:dyDescent="0.25">
      <c r="A168" s="6" t="s">
        <v>61</v>
      </c>
      <c r="B168" s="50" t="s">
        <v>326</v>
      </c>
      <c r="C168" s="6" t="s">
        <v>134</v>
      </c>
      <c r="D168" s="7" t="s">
        <v>18</v>
      </c>
      <c r="E168" s="7" t="s">
        <v>26</v>
      </c>
      <c r="F168" s="6" t="str">
        <f t="shared" si="8"/>
        <v>DIFAL</v>
      </c>
      <c r="G168" s="38">
        <v>18</v>
      </c>
      <c r="H168" s="42">
        <v>10</v>
      </c>
      <c r="I168" s="42">
        <v>0</v>
      </c>
      <c r="J168" s="11"/>
      <c r="K168" s="28">
        <f t="shared" si="9"/>
        <v>0</v>
      </c>
      <c r="L168" s="12">
        <f t="shared" si="10"/>
        <v>0</v>
      </c>
      <c r="M168" s="12">
        <f t="shared" si="11"/>
        <v>0</v>
      </c>
    </row>
    <row r="169" spans="1:13" x14ac:dyDescent="0.25">
      <c r="A169" s="6" t="s">
        <v>327</v>
      </c>
      <c r="B169" s="50" t="s">
        <v>328</v>
      </c>
      <c r="C169" s="6" t="s">
        <v>134</v>
      </c>
      <c r="D169" s="7" t="s">
        <v>18</v>
      </c>
      <c r="E169" s="7" t="s">
        <v>26</v>
      </c>
      <c r="F169" s="6" t="str">
        <f t="shared" si="8"/>
        <v>DIFAL</v>
      </c>
      <c r="G169" s="38">
        <v>18</v>
      </c>
      <c r="H169" s="42">
        <v>10</v>
      </c>
      <c r="I169" s="42">
        <v>0</v>
      </c>
      <c r="J169" s="11"/>
      <c r="K169" s="28">
        <f t="shared" si="9"/>
        <v>0</v>
      </c>
      <c r="L169" s="12">
        <f t="shared" si="10"/>
        <v>0</v>
      </c>
      <c r="M169" s="12">
        <f t="shared" si="11"/>
        <v>0</v>
      </c>
    </row>
    <row r="170" spans="1:13" x14ac:dyDescent="0.25">
      <c r="A170" s="6" t="s">
        <v>329</v>
      </c>
      <c r="B170" s="50" t="s">
        <v>330</v>
      </c>
      <c r="C170" s="6" t="s">
        <v>134</v>
      </c>
      <c r="D170" s="7" t="s">
        <v>18</v>
      </c>
      <c r="E170" s="7" t="s">
        <v>26</v>
      </c>
      <c r="F170" s="6" t="str">
        <f t="shared" si="8"/>
        <v>DIFAL</v>
      </c>
      <c r="G170" s="38">
        <v>18</v>
      </c>
      <c r="H170" s="42">
        <v>10</v>
      </c>
      <c r="I170" s="42">
        <v>0</v>
      </c>
      <c r="J170" s="11"/>
      <c r="K170" s="28">
        <f t="shared" si="9"/>
        <v>0</v>
      </c>
      <c r="L170" s="12">
        <f t="shared" si="10"/>
        <v>0</v>
      </c>
      <c r="M170" s="12">
        <f t="shared" si="11"/>
        <v>0</v>
      </c>
    </row>
    <row r="171" spans="1:13" x14ac:dyDescent="0.25">
      <c r="A171" s="6" t="s">
        <v>331</v>
      </c>
      <c r="B171" s="50" t="s">
        <v>332</v>
      </c>
      <c r="C171" s="6" t="s">
        <v>134</v>
      </c>
      <c r="D171" s="7" t="s">
        <v>18</v>
      </c>
      <c r="E171" s="7" t="s">
        <v>26</v>
      </c>
      <c r="F171" s="6" t="str">
        <f t="shared" si="8"/>
        <v>DIFAL</v>
      </c>
      <c r="G171" s="38">
        <v>18</v>
      </c>
      <c r="H171" s="42">
        <v>10</v>
      </c>
      <c r="I171" s="42">
        <v>0</v>
      </c>
      <c r="J171" s="11"/>
      <c r="K171" s="28">
        <f t="shared" si="9"/>
        <v>0</v>
      </c>
      <c r="L171" s="12">
        <f t="shared" si="10"/>
        <v>0</v>
      </c>
      <c r="M171" s="12">
        <f t="shared" si="11"/>
        <v>0</v>
      </c>
    </row>
    <row r="172" spans="1:13" x14ac:dyDescent="0.25">
      <c r="A172" s="6" t="s">
        <v>333</v>
      </c>
      <c r="B172" s="50" t="s">
        <v>334</v>
      </c>
      <c r="C172" s="6" t="s">
        <v>134</v>
      </c>
      <c r="D172" s="7" t="s">
        <v>18</v>
      </c>
      <c r="E172" s="7" t="s">
        <v>26</v>
      </c>
      <c r="F172" s="6" t="str">
        <f t="shared" si="8"/>
        <v>DIFAL</v>
      </c>
      <c r="G172" s="38">
        <v>18</v>
      </c>
      <c r="H172" s="42">
        <v>10</v>
      </c>
      <c r="I172" s="42">
        <v>0</v>
      </c>
      <c r="J172" s="11"/>
      <c r="K172" s="28">
        <f t="shared" si="9"/>
        <v>0</v>
      </c>
      <c r="L172" s="12">
        <f t="shared" si="10"/>
        <v>0</v>
      </c>
      <c r="M172" s="12">
        <f t="shared" si="11"/>
        <v>0</v>
      </c>
    </row>
    <row r="173" spans="1:13" x14ac:dyDescent="0.25">
      <c r="A173" s="6" t="s">
        <v>335</v>
      </c>
      <c r="B173" s="50" t="s">
        <v>336</v>
      </c>
      <c r="C173" s="6" t="s">
        <v>134</v>
      </c>
      <c r="D173" s="7" t="s">
        <v>18</v>
      </c>
      <c r="E173" s="7" t="s">
        <v>26</v>
      </c>
      <c r="F173" s="6" t="str">
        <f t="shared" si="8"/>
        <v>DIFAL</v>
      </c>
      <c r="G173" s="38">
        <v>18</v>
      </c>
      <c r="H173" s="42">
        <v>10</v>
      </c>
      <c r="I173" s="42">
        <v>0</v>
      </c>
      <c r="J173" s="11"/>
      <c r="K173" s="28">
        <f t="shared" si="9"/>
        <v>0</v>
      </c>
      <c r="L173" s="12">
        <f t="shared" si="10"/>
        <v>0</v>
      </c>
      <c r="M173" s="12">
        <f t="shared" si="11"/>
        <v>0</v>
      </c>
    </row>
    <row r="174" spans="1:13" x14ac:dyDescent="0.25">
      <c r="A174" s="6" t="s">
        <v>337</v>
      </c>
      <c r="B174" s="50" t="s">
        <v>338</v>
      </c>
      <c r="C174" s="6" t="s">
        <v>134</v>
      </c>
      <c r="D174" s="7" t="s">
        <v>18</v>
      </c>
      <c r="E174" s="7" t="s">
        <v>26</v>
      </c>
      <c r="F174" s="6" t="str">
        <f t="shared" si="8"/>
        <v>DIFAL</v>
      </c>
      <c r="G174" s="38">
        <v>18</v>
      </c>
      <c r="H174" s="42">
        <v>10</v>
      </c>
      <c r="I174" s="42">
        <v>0</v>
      </c>
      <c r="J174" s="11"/>
      <c r="K174" s="28">
        <f t="shared" si="9"/>
        <v>0</v>
      </c>
      <c r="L174" s="12">
        <f t="shared" si="10"/>
        <v>0</v>
      </c>
      <c r="M174" s="12">
        <f t="shared" si="11"/>
        <v>0</v>
      </c>
    </row>
    <row r="175" spans="1:13" x14ac:dyDescent="0.25">
      <c r="A175" s="6" t="s">
        <v>339</v>
      </c>
      <c r="B175" s="50" t="s">
        <v>340</v>
      </c>
      <c r="C175" s="6" t="s">
        <v>134</v>
      </c>
      <c r="D175" s="7" t="s">
        <v>18</v>
      </c>
      <c r="E175" s="7" t="s">
        <v>26</v>
      </c>
      <c r="F175" s="6" t="str">
        <f t="shared" si="8"/>
        <v>DIFAL</v>
      </c>
      <c r="G175" s="38">
        <v>18</v>
      </c>
      <c r="H175" s="42">
        <v>10</v>
      </c>
      <c r="I175" s="42">
        <v>0</v>
      </c>
      <c r="J175" s="11"/>
      <c r="K175" s="28">
        <f t="shared" si="9"/>
        <v>0</v>
      </c>
      <c r="L175" s="12">
        <f t="shared" si="10"/>
        <v>0</v>
      </c>
      <c r="M175" s="12">
        <f t="shared" si="11"/>
        <v>0</v>
      </c>
    </row>
    <row r="176" spans="1:13" x14ac:dyDescent="0.25">
      <c r="A176" s="6" t="s">
        <v>43</v>
      </c>
      <c r="B176" s="50" t="s">
        <v>341</v>
      </c>
      <c r="C176" s="6" t="s">
        <v>134</v>
      </c>
      <c r="D176" s="7" t="s">
        <v>18</v>
      </c>
      <c r="E176" s="7" t="s">
        <v>26</v>
      </c>
      <c r="F176" s="6" t="str">
        <f t="shared" si="8"/>
        <v>DIFAL</v>
      </c>
      <c r="G176" s="38">
        <v>18</v>
      </c>
      <c r="H176" s="42">
        <v>10</v>
      </c>
      <c r="I176" s="42">
        <v>0</v>
      </c>
      <c r="J176" s="11"/>
      <c r="K176" s="28">
        <f t="shared" si="9"/>
        <v>0</v>
      </c>
      <c r="L176" s="12">
        <f t="shared" si="10"/>
        <v>0</v>
      </c>
      <c r="M176" s="12">
        <f t="shared" si="11"/>
        <v>0</v>
      </c>
    </row>
    <row r="177" spans="1:14" x14ac:dyDescent="0.25">
      <c r="A177" s="6" t="s">
        <v>342</v>
      </c>
      <c r="B177" s="50" t="s">
        <v>343</v>
      </c>
      <c r="C177" s="6" t="s">
        <v>134</v>
      </c>
      <c r="D177" s="7" t="s">
        <v>18</v>
      </c>
      <c r="E177" s="7" t="s">
        <v>26</v>
      </c>
      <c r="F177" s="6" t="str">
        <f t="shared" si="8"/>
        <v>DIFAL</v>
      </c>
      <c r="G177" s="38">
        <v>18</v>
      </c>
      <c r="H177" s="42">
        <v>10</v>
      </c>
      <c r="I177" s="42">
        <v>0</v>
      </c>
      <c r="J177" s="11"/>
      <c r="K177" s="28">
        <f t="shared" si="9"/>
        <v>0</v>
      </c>
      <c r="L177" s="12">
        <f t="shared" si="10"/>
        <v>0</v>
      </c>
      <c r="M177" s="12">
        <f t="shared" si="11"/>
        <v>0</v>
      </c>
    </row>
    <row r="178" spans="1:14" x14ac:dyDescent="0.25">
      <c r="A178" s="6" t="s">
        <v>344</v>
      </c>
      <c r="B178" s="50" t="s">
        <v>345</v>
      </c>
      <c r="C178" s="6" t="s">
        <v>134</v>
      </c>
      <c r="D178" s="7" t="s">
        <v>18</v>
      </c>
      <c r="E178" s="7" t="s">
        <v>26</v>
      </c>
      <c r="F178" s="6" t="str">
        <f t="shared" si="8"/>
        <v>DIFAL</v>
      </c>
      <c r="G178" s="38">
        <v>18</v>
      </c>
      <c r="H178" s="42">
        <v>10</v>
      </c>
      <c r="I178" s="42">
        <v>0</v>
      </c>
      <c r="J178" s="11"/>
      <c r="K178" s="28">
        <f t="shared" si="9"/>
        <v>0</v>
      </c>
      <c r="L178" s="12">
        <f t="shared" si="10"/>
        <v>0</v>
      </c>
      <c r="M178" s="12">
        <f t="shared" si="11"/>
        <v>0</v>
      </c>
    </row>
    <row r="179" spans="1:14" x14ac:dyDescent="0.25">
      <c r="A179" s="6" t="s">
        <v>346</v>
      </c>
      <c r="B179" s="50" t="s">
        <v>347</v>
      </c>
      <c r="C179" s="6" t="s">
        <v>134</v>
      </c>
      <c r="D179" s="7" t="s">
        <v>18</v>
      </c>
      <c r="E179" s="7" t="s">
        <v>26</v>
      </c>
      <c r="F179" s="6" t="str">
        <f t="shared" si="8"/>
        <v>DIFAL</v>
      </c>
      <c r="G179" s="38">
        <v>18</v>
      </c>
      <c r="H179" s="42">
        <v>10</v>
      </c>
      <c r="I179" s="42">
        <v>0</v>
      </c>
      <c r="J179" s="11"/>
      <c r="K179" s="28">
        <f t="shared" si="9"/>
        <v>0</v>
      </c>
      <c r="L179" s="12">
        <f t="shared" si="10"/>
        <v>0</v>
      </c>
      <c r="M179" s="12">
        <f t="shared" si="11"/>
        <v>0</v>
      </c>
    </row>
    <row r="180" spans="1:14" x14ac:dyDescent="0.25">
      <c r="A180" s="6" t="s">
        <v>348</v>
      </c>
      <c r="B180" s="50" t="s">
        <v>349</v>
      </c>
      <c r="C180" s="6" t="s">
        <v>134</v>
      </c>
      <c r="D180" s="7" t="s">
        <v>18</v>
      </c>
      <c r="E180" s="7" t="s">
        <v>26</v>
      </c>
      <c r="F180" s="6" t="str">
        <f t="shared" si="8"/>
        <v>DIFAL</v>
      </c>
      <c r="G180" s="38">
        <v>18</v>
      </c>
      <c r="H180" s="42">
        <v>10</v>
      </c>
      <c r="I180" s="42">
        <v>0</v>
      </c>
      <c r="J180" s="11"/>
      <c r="K180" s="28">
        <f t="shared" si="9"/>
        <v>0</v>
      </c>
      <c r="L180" s="12">
        <f t="shared" si="10"/>
        <v>0</v>
      </c>
      <c r="M180" s="12">
        <f t="shared" si="11"/>
        <v>0</v>
      </c>
    </row>
    <row r="181" spans="1:14" x14ac:dyDescent="0.25">
      <c r="A181" s="6" t="s">
        <v>350</v>
      </c>
      <c r="B181" s="50" t="s">
        <v>351</v>
      </c>
      <c r="C181" s="6" t="s">
        <v>134</v>
      </c>
      <c r="D181" s="7" t="s">
        <v>18</v>
      </c>
      <c r="E181" s="7" t="s">
        <v>26</v>
      </c>
      <c r="F181" s="6" t="str">
        <f t="shared" si="8"/>
        <v>DIFAL</v>
      </c>
      <c r="G181" s="38">
        <v>18</v>
      </c>
      <c r="H181" s="42">
        <v>10</v>
      </c>
      <c r="I181" s="42">
        <v>0</v>
      </c>
      <c r="J181" s="11"/>
      <c r="K181" s="28">
        <f t="shared" si="9"/>
        <v>0</v>
      </c>
      <c r="L181" s="12">
        <f t="shared" si="10"/>
        <v>0</v>
      </c>
      <c r="M181" s="12">
        <f t="shared" si="11"/>
        <v>0</v>
      </c>
    </row>
    <row r="182" spans="1:14" x14ac:dyDescent="0.25">
      <c r="A182" s="6" t="s">
        <v>352</v>
      </c>
      <c r="B182" s="50" t="s">
        <v>353</v>
      </c>
      <c r="C182" s="6" t="s">
        <v>134</v>
      </c>
      <c r="D182" s="7" t="s">
        <v>18</v>
      </c>
      <c r="E182" s="7" t="s">
        <v>26</v>
      </c>
      <c r="F182" s="6" t="str">
        <f t="shared" si="8"/>
        <v>DIFAL</v>
      </c>
      <c r="G182" s="38">
        <v>18</v>
      </c>
      <c r="H182" s="42">
        <v>10</v>
      </c>
      <c r="I182" s="42">
        <v>0</v>
      </c>
      <c r="J182" s="11"/>
      <c r="K182" s="28">
        <f t="shared" si="9"/>
        <v>0</v>
      </c>
      <c r="L182" s="12">
        <f t="shared" si="10"/>
        <v>0</v>
      </c>
      <c r="M182" s="12">
        <f t="shared" si="11"/>
        <v>0</v>
      </c>
    </row>
    <row r="183" spans="1:14" x14ac:dyDescent="0.25">
      <c r="A183" s="6" t="s">
        <v>354</v>
      </c>
      <c r="B183" s="50" t="s">
        <v>355</v>
      </c>
      <c r="C183" s="6" t="s">
        <v>134</v>
      </c>
      <c r="D183" s="7" t="s">
        <v>18</v>
      </c>
      <c r="E183" s="7" t="s">
        <v>26</v>
      </c>
      <c r="F183" s="6" t="str">
        <f t="shared" si="8"/>
        <v>DIFAL</v>
      </c>
      <c r="G183" s="38">
        <v>18</v>
      </c>
      <c r="H183" s="42">
        <v>10</v>
      </c>
      <c r="I183" s="42">
        <v>0</v>
      </c>
      <c r="J183" s="11"/>
      <c r="K183" s="28">
        <f t="shared" si="9"/>
        <v>0</v>
      </c>
      <c r="L183" s="12">
        <f t="shared" si="10"/>
        <v>0</v>
      </c>
      <c r="M183" s="12">
        <f t="shared" si="11"/>
        <v>0</v>
      </c>
    </row>
    <row r="184" spans="1:14" x14ac:dyDescent="0.25">
      <c r="A184" s="6" t="s">
        <v>356</v>
      </c>
      <c r="B184" s="50" t="s">
        <v>357</v>
      </c>
      <c r="C184" s="6" t="s">
        <v>134</v>
      </c>
      <c r="D184" s="7" t="s">
        <v>18</v>
      </c>
      <c r="E184" s="7" t="s">
        <v>26</v>
      </c>
      <c r="F184" s="6" t="str">
        <f t="shared" si="8"/>
        <v>DIFAL</v>
      </c>
      <c r="G184" s="38">
        <v>18</v>
      </c>
      <c r="H184" s="42">
        <v>10</v>
      </c>
      <c r="I184" s="42">
        <v>0</v>
      </c>
      <c r="J184" s="11"/>
      <c r="K184" s="28">
        <f t="shared" si="9"/>
        <v>0</v>
      </c>
      <c r="L184" s="12">
        <f t="shared" si="10"/>
        <v>0</v>
      </c>
      <c r="M184" s="12">
        <f t="shared" si="11"/>
        <v>0</v>
      </c>
    </row>
    <row r="185" spans="1:14" x14ac:dyDescent="0.25">
      <c r="A185" s="6" t="s">
        <v>358</v>
      </c>
      <c r="B185" s="50" t="s">
        <v>359</v>
      </c>
      <c r="C185" s="6" t="s">
        <v>134</v>
      </c>
      <c r="D185" s="7" t="s">
        <v>18</v>
      </c>
      <c r="E185" s="7" t="s">
        <v>26</v>
      </c>
      <c r="F185" s="6" t="str">
        <f t="shared" si="8"/>
        <v>DIFAL</v>
      </c>
      <c r="G185" s="38">
        <v>18</v>
      </c>
      <c r="H185" s="42">
        <v>10</v>
      </c>
      <c r="I185" s="42">
        <v>0</v>
      </c>
      <c r="J185" s="11"/>
      <c r="K185" s="28">
        <f t="shared" si="9"/>
        <v>0</v>
      </c>
      <c r="L185" s="12">
        <f t="shared" si="10"/>
        <v>0</v>
      </c>
      <c r="M185" s="12">
        <f t="shared" si="11"/>
        <v>0</v>
      </c>
    </row>
    <row r="186" spans="1:14" x14ac:dyDescent="0.25">
      <c r="A186" s="6" t="s">
        <v>360</v>
      </c>
      <c r="B186" s="50" t="s">
        <v>361</v>
      </c>
      <c r="C186" s="6" t="s">
        <v>134</v>
      </c>
      <c r="D186" s="7" t="s">
        <v>18</v>
      </c>
      <c r="E186" s="7" t="s">
        <v>26</v>
      </c>
      <c r="F186" s="6" t="str">
        <f t="shared" si="8"/>
        <v>DIFAL</v>
      </c>
      <c r="G186" s="38">
        <v>18</v>
      </c>
      <c r="H186" s="42">
        <v>10</v>
      </c>
      <c r="I186" s="42">
        <v>0</v>
      </c>
      <c r="J186" s="11"/>
      <c r="K186" s="28">
        <f t="shared" si="9"/>
        <v>0</v>
      </c>
      <c r="L186" s="12">
        <f t="shared" si="10"/>
        <v>0</v>
      </c>
      <c r="M186" s="12">
        <f t="shared" si="11"/>
        <v>0</v>
      </c>
    </row>
    <row r="187" spans="1:14" x14ac:dyDescent="0.25">
      <c r="A187" s="6" t="s">
        <v>362</v>
      </c>
      <c r="B187" s="50" t="s">
        <v>363</v>
      </c>
      <c r="C187" s="6" t="s">
        <v>134</v>
      </c>
      <c r="D187" s="7" t="s">
        <v>18</v>
      </c>
      <c r="E187" s="7" t="s">
        <v>26</v>
      </c>
      <c r="F187" s="6" t="str">
        <f t="shared" si="8"/>
        <v>DIFAL</v>
      </c>
      <c r="G187" s="38">
        <v>18</v>
      </c>
      <c r="H187" s="42">
        <v>10</v>
      </c>
      <c r="I187" s="42">
        <v>0</v>
      </c>
      <c r="J187" s="11"/>
      <c r="K187" s="28">
        <f t="shared" si="9"/>
        <v>0</v>
      </c>
      <c r="L187" s="12">
        <f t="shared" si="10"/>
        <v>0</v>
      </c>
      <c r="M187" s="12">
        <f t="shared" si="11"/>
        <v>0</v>
      </c>
    </row>
    <row r="188" spans="1:14" x14ac:dyDescent="0.25">
      <c r="A188" s="6" t="s">
        <v>364</v>
      </c>
      <c r="B188" s="50" t="s">
        <v>365</v>
      </c>
      <c r="C188" s="6" t="s">
        <v>134</v>
      </c>
      <c r="D188" s="7" t="s">
        <v>18</v>
      </c>
      <c r="E188" s="7" t="s">
        <v>26</v>
      </c>
      <c r="F188" s="6" t="str">
        <f t="shared" si="8"/>
        <v>DIFAL</v>
      </c>
      <c r="G188" s="38">
        <v>18</v>
      </c>
      <c r="H188" s="42">
        <v>10</v>
      </c>
      <c r="I188" s="42">
        <v>0</v>
      </c>
      <c r="J188" s="11"/>
      <c r="K188" s="28">
        <f t="shared" si="9"/>
        <v>0</v>
      </c>
      <c r="L188" s="12">
        <f t="shared" si="10"/>
        <v>0</v>
      </c>
      <c r="M188" s="12">
        <f t="shared" si="11"/>
        <v>0</v>
      </c>
    </row>
    <row r="189" spans="1:14" x14ac:dyDescent="0.25">
      <c r="A189" s="6" t="s">
        <v>366</v>
      </c>
      <c r="B189" s="50" t="s">
        <v>367</v>
      </c>
      <c r="C189" s="6" t="s">
        <v>134</v>
      </c>
      <c r="D189" s="7" t="s">
        <v>18</v>
      </c>
      <c r="E189" s="7" t="s">
        <v>26</v>
      </c>
      <c r="F189" s="6" t="str">
        <f t="shared" si="8"/>
        <v>DIFAL</v>
      </c>
      <c r="G189" s="38">
        <v>18</v>
      </c>
      <c r="H189" s="42">
        <v>10</v>
      </c>
      <c r="I189" s="42">
        <v>0</v>
      </c>
      <c r="J189" s="11"/>
      <c r="K189" s="28">
        <f t="shared" si="9"/>
        <v>0</v>
      </c>
      <c r="L189" s="12">
        <f t="shared" si="10"/>
        <v>0</v>
      </c>
      <c r="M189" s="12">
        <f t="shared" si="11"/>
        <v>0</v>
      </c>
      <c r="N189" t="s">
        <v>23</v>
      </c>
    </row>
    <row r="190" spans="1:14" x14ac:dyDescent="0.25">
      <c r="A190" s="6" t="s">
        <v>368</v>
      </c>
      <c r="B190" s="50" t="s">
        <v>369</v>
      </c>
      <c r="C190" s="6" t="s">
        <v>134</v>
      </c>
      <c r="D190" s="7" t="s">
        <v>18</v>
      </c>
      <c r="E190" s="7" t="s">
        <v>26</v>
      </c>
      <c r="F190" s="6" t="str">
        <f t="shared" si="8"/>
        <v>DIFAL</v>
      </c>
      <c r="G190" s="38">
        <v>18</v>
      </c>
      <c r="H190" s="42">
        <v>10</v>
      </c>
      <c r="I190" s="42">
        <v>0</v>
      </c>
      <c r="J190" s="11"/>
      <c r="K190" s="28">
        <f t="shared" si="9"/>
        <v>0</v>
      </c>
      <c r="L190" s="12">
        <f t="shared" si="10"/>
        <v>0</v>
      </c>
      <c r="M190" s="12">
        <f t="shared" si="11"/>
        <v>0</v>
      </c>
      <c r="N190" t="s">
        <v>23</v>
      </c>
    </row>
    <row r="191" spans="1:14" x14ac:dyDescent="0.25">
      <c r="A191" s="6" t="s">
        <v>370</v>
      </c>
      <c r="B191" s="50" t="s">
        <v>371</v>
      </c>
      <c r="C191" s="6" t="s">
        <v>134</v>
      </c>
      <c r="D191" s="7" t="s">
        <v>18</v>
      </c>
      <c r="E191" s="7" t="s">
        <v>26</v>
      </c>
      <c r="F191" s="6" t="str">
        <f t="shared" si="8"/>
        <v>DIFAL</v>
      </c>
      <c r="G191" s="38">
        <v>18</v>
      </c>
      <c r="H191" s="42">
        <v>10</v>
      </c>
      <c r="I191" s="42">
        <v>0</v>
      </c>
      <c r="J191" s="11"/>
      <c r="K191" s="28">
        <f t="shared" si="9"/>
        <v>0</v>
      </c>
      <c r="L191" s="12">
        <f t="shared" si="10"/>
        <v>0</v>
      </c>
      <c r="M191" s="12">
        <f t="shared" si="11"/>
        <v>0</v>
      </c>
    </row>
    <row r="192" spans="1:14" x14ac:dyDescent="0.25">
      <c r="A192" s="6" t="s">
        <v>372</v>
      </c>
      <c r="B192" s="50" t="s">
        <v>373</v>
      </c>
      <c r="C192" s="6" t="s">
        <v>134</v>
      </c>
      <c r="D192" s="7" t="s">
        <v>18</v>
      </c>
      <c r="E192" s="7" t="s">
        <v>26</v>
      </c>
      <c r="F192" s="6" t="str">
        <f t="shared" si="8"/>
        <v>DIFAL</v>
      </c>
      <c r="G192" s="38">
        <v>18</v>
      </c>
      <c r="H192" s="42">
        <v>10</v>
      </c>
      <c r="I192" s="42">
        <v>0</v>
      </c>
      <c r="J192" s="11"/>
      <c r="K192" s="28">
        <f t="shared" si="9"/>
        <v>0</v>
      </c>
      <c r="L192" s="12">
        <f t="shared" si="10"/>
        <v>0</v>
      </c>
      <c r="M192" s="12">
        <f t="shared" si="11"/>
        <v>0</v>
      </c>
    </row>
    <row r="193" spans="1:14" x14ac:dyDescent="0.25">
      <c r="A193" s="6" t="s">
        <v>374</v>
      </c>
      <c r="B193" s="50" t="s">
        <v>375</v>
      </c>
      <c r="C193" s="6" t="s">
        <v>134</v>
      </c>
      <c r="D193" s="7" t="s">
        <v>18</v>
      </c>
      <c r="E193" s="7" t="s">
        <v>26</v>
      </c>
      <c r="F193" s="6" t="str">
        <f t="shared" si="8"/>
        <v>DIFAL</v>
      </c>
      <c r="G193" s="38">
        <v>18</v>
      </c>
      <c r="H193" s="42">
        <v>10</v>
      </c>
      <c r="I193" s="42">
        <v>0</v>
      </c>
      <c r="J193" s="11"/>
      <c r="K193" s="28">
        <f t="shared" si="9"/>
        <v>0</v>
      </c>
      <c r="L193" s="12">
        <f t="shared" si="10"/>
        <v>0</v>
      </c>
      <c r="M193" s="12">
        <f t="shared" si="11"/>
        <v>0</v>
      </c>
    </row>
    <row r="194" spans="1:14" x14ac:dyDescent="0.25">
      <c r="A194" s="6" t="s">
        <v>376</v>
      </c>
      <c r="B194" s="50" t="s">
        <v>377</v>
      </c>
      <c r="C194" s="6" t="s">
        <v>134</v>
      </c>
      <c r="D194" s="7" t="s">
        <v>18</v>
      </c>
      <c r="E194" s="7" t="s">
        <v>26</v>
      </c>
      <c r="F194" s="6" t="str">
        <f t="shared" ref="F194:F234" si="12">IF(C194="C/ST","ICMS-ST","DIFAL")</f>
        <v>DIFAL</v>
      </c>
      <c r="G194" s="38">
        <v>18</v>
      </c>
      <c r="H194" s="42">
        <v>10</v>
      </c>
      <c r="I194" s="42">
        <v>0</v>
      </c>
      <c r="J194" s="11"/>
      <c r="K194" s="28">
        <f t="shared" ref="K194:K234" si="13">IF(D194="EXTERNA",IF(C194="C/ST",IF(E194="IMPORTADA",J194*G194%,J194*H194%),IF(E194="NACIONAL",J194*H194%,J194*G194%)),0)</f>
        <v>0</v>
      </c>
      <c r="L194" s="12">
        <f t="shared" ref="L194:L234" si="14">IF(AND(C194="C/ST",F194="ICMS-ST", D194="INTERNA"),(J194*I194%),0)</f>
        <v>0</v>
      </c>
      <c r="M194" s="12">
        <f t="shared" ref="M194:M234" si="15">J194+K194+L194</f>
        <v>0</v>
      </c>
    </row>
    <row r="195" spans="1:14" x14ac:dyDescent="0.25">
      <c r="A195" s="6" t="s">
        <v>378</v>
      </c>
      <c r="B195" s="50" t="s">
        <v>379</v>
      </c>
      <c r="C195" s="6" t="s">
        <v>134</v>
      </c>
      <c r="D195" s="7" t="s">
        <v>18</v>
      </c>
      <c r="E195" s="7" t="s">
        <v>26</v>
      </c>
      <c r="F195" s="6" t="str">
        <f t="shared" si="12"/>
        <v>DIFAL</v>
      </c>
      <c r="G195" s="38">
        <v>18</v>
      </c>
      <c r="H195" s="42">
        <v>10</v>
      </c>
      <c r="I195" s="42">
        <v>0</v>
      </c>
      <c r="J195" s="11"/>
      <c r="K195" s="28">
        <f t="shared" si="13"/>
        <v>0</v>
      </c>
      <c r="L195" s="12">
        <f t="shared" si="14"/>
        <v>0</v>
      </c>
      <c r="M195" s="12">
        <f t="shared" si="15"/>
        <v>0</v>
      </c>
      <c r="N195" t="s">
        <v>23</v>
      </c>
    </row>
    <row r="196" spans="1:14" x14ac:dyDescent="0.25">
      <c r="A196" s="6" t="s">
        <v>380</v>
      </c>
      <c r="B196" s="50" t="s">
        <v>381</v>
      </c>
      <c r="C196" s="6" t="s">
        <v>134</v>
      </c>
      <c r="D196" s="7" t="s">
        <v>18</v>
      </c>
      <c r="E196" s="7" t="s">
        <v>26</v>
      </c>
      <c r="F196" s="6" t="str">
        <f t="shared" si="12"/>
        <v>DIFAL</v>
      </c>
      <c r="G196" s="38">
        <v>18</v>
      </c>
      <c r="H196" s="42">
        <v>10</v>
      </c>
      <c r="I196" s="42">
        <v>0</v>
      </c>
      <c r="J196" s="11"/>
      <c r="K196" s="28">
        <f t="shared" si="13"/>
        <v>0</v>
      </c>
      <c r="L196" s="12">
        <f t="shared" si="14"/>
        <v>0</v>
      </c>
      <c r="M196" s="12">
        <f t="shared" si="15"/>
        <v>0</v>
      </c>
    </row>
    <row r="197" spans="1:14" x14ac:dyDescent="0.25">
      <c r="A197" s="6" t="s">
        <v>382</v>
      </c>
      <c r="B197" s="50" t="s">
        <v>383</v>
      </c>
      <c r="C197" s="6" t="s">
        <v>134</v>
      </c>
      <c r="D197" s="7" t="s">
        <v>18</v>
      </c>
      <c r="E197" s="7" t="s">
        <v>26</v>
      </c>
      <c r="F197" s="6" t="str">
        <f t="shared" si="12"/>
        <v>DIFAL</v>
      </c>
      <c r="G197" s="38">
        <v>18</v>
      </c>
      <c r="H197" s="42">
        <v>10</v>
      </c>
      <c r="I197" s="42">
        <v>0</v>
      </c>
      <c r="J197" s="11"/>
      <c r="K197" s="28">
        <f t="shared" si="13"/>
        <v>0</v>
      </c>
      <c r="L197" s="12">
        <f t="shared" si="14"/>
        <v>0</v>
      </c>
      <c r="M197" s="12">
        <f t="shared" si="15"/>
        <v>0</v>
      </c>
    </row>
    <row r="198" spans="1:14" x14ac:dyDescent="0.25">
      <c r="A198" s="6" t="s">
        <v>384</v>
      </c>
      <c r="B198" s="50" t="s">
        <v>385</v>
      </c>
      <c r="C198" s="6" t="s">
        <v>134</v>
      </c>
      <c r="D198" s="7" t="s">
        <v>18</v>
      </c>
      <c r="E198" s="7" t="s">
        <v>26</v>
      </c>
      <c r="F198" s="6" t="str">
        <f t="shared" si="12"/>
        <v>DIFAL</v>
      </c>
      <c r="G198" s="38">
        <v>18</v>
      </c>
      <c r="H198" s="42">
        <v>10</v>
      </c>
      <c r="I198" s="42">
        <v>0</v>
      </c>
      <c r="J198" s="11"/>
      <c r="K198" s="28">
        <f t="shared" si="13"/>
        <v>0</v>
      </c>
      <c r="L198" s="12">
        <f t="shared" si="14"/>
        <v>0</v>
      </c>
      <c r="M198" s="12">
        <f t="shared" si="15"/>
        <v>0</v>
      </c>
    </row>
    <row r="199" spans="1:14" x14ac:dyDescent="0.25">
      <c r="A199" s="6" t="s">
        <v>386</v>
      </c>
      <c r="B199" s="50" t="s">
        <v>379</v>
      </c>
      <c r="C199" s="6" t="s">
        <v>134</v>
      </c>
      <c r="D199" s="7" t="s">
        <v>18</v>
      </c>
      <c r="E199" s="7" t="s">
        <v>26</v>
      </c>
      <c r="F199" s="6" t="str">
        <f t="shared" si="12"/>
        <v>DIFAL</v>
      </c>
      <c r="G199" s="38">
        <v>18</v>
      </c>
      <c r="H199" s="42">
        <v>10</v>
      </c>
      <c r="I199" s="42">
        <v>0</v>
      </c>
      <c r="J199" s="11"/>
      <c r="K199" s="28">
        <f t="shared" si="13"/>
        <v>0</v>
      </c>
      <c r="L199" s="12">
        <f t="shared" si="14"/>
        <v>0</v>
      </c>
      <c r="M199" s="12">
        <f t="shared" si="15"/>
        <v>0</v>
      </c>
    </row>
    <row r="200" spans="1:14" x14ac:dyDescent="0.25">
      <c r="A200" s="6" t="s">
        <v>387</v>
      </c>
      <c r="B200" s="50" t="s">
        <v>388</v>
      </c>
      <c r="C200" s="6" t="s">
        <v>134</v>
      </c>
      <c r="D200" s="7" t="s">
        <v>18</v>
      </c>
      <c r="E200" s="7" t="s">
        <v>26</v>
      </c>
      <c r="F200" s="6" t="str">
        <f t="shared" si="12"/>
        <v>DIFAL</v>
      </c>
      <c r="G200" s="38">
        <v>18</v>
      </c>
      <c r="H200" s="42">
        <v>10</v>
      </c>
      <c r="I200" s="42">
        <v>0</v>
      </c>
      <c r="J200" s="11"/>
      <c r="K200" s="28">
        <f t="shared" si="13"/>
        <v>0</v>
      </c>
      <c r="L200" s="12">
        <f t="shared" si="14"/>
        <v>0</v>
      </c>
      <c r="M200" s="12">
        <f t="shared" si="15"/>
        <v>0</v>
      </c>
    </row>
    <row r="201" spans="1:14" x14ac:dyDescent="0.25">
      <c r="A201" s="6" t="s">
        <v>389</v>
      </c>
      <c r="B201" s="50" t="s">
        <v>379</v>
      </c>
      <c r="C201" s="6" t="s">
        <v>134</v>
      </c>
      <c r="D201" s="7" t="s">
        <v>18</v>
      </c>
      <c r="E201" s="7" t="s">
        <v>26</v>
      </c>
      <c r="F201" s="6" t="str">
        <f t="shared" si="12"/>
        <v>DIFAL</v>
      </c>
      <c r="G201" s="38">
        <v>18</v>
      </c>
      <c r="H201" s="42">
        <v>10</v>
      </c>
      <c r="I201" s="42">
        <v>0</v>
      </c>
      <c r="J201" s="11"/>
      <c r="K201" s="28">
        <f t="shared" si="13"/>
        <v>0</v>
      </c>
      <c r="L201" s="12">
        <f t="shared" si="14"/>
        <v>0</v>
      </c>
      <c r="M201" s="12">
        <f t="shared" si="15"/>
        <v>0</v>
      </c>
    </row>
    <row r="202" spans="1:14" x14ac:dyDescent="0.25">
      <c r="A202" s="6" t="s">
        <v>390</v>
      </c>
      <c r="B202" s="50" t="s">
        <v>375</v>
      </c>
      <c r="C202" s="6" t="s">
        <v>134</v>
      </c>
      <c r="D202" s="7" t="s">
        <v>18</v>
      </c>
      <c r="E202" s="7" t="s">
        <v>26</v>
      </c>
      <c r="F202" s="6" t="str">
        <f t="shared" si="12"/>
        <v>DIFAL</v>
      </c>
      <c r="G202" s="38">
        <v>18</v>
      </c>
      <c r="H202" s="42">
        <v>10</v>
      </c>
      <c r="I202" s="42">
        <v>0</v>
      </c>
      <c r="J202" s="11"/>
      <c r="K202" s="28">
        <f t="shared" si="13"/>
        <v>0</v>
      </c>
      <c r="L202" s="12">
        <f t="shared" si="14"/>
        <v>0</v>
      </c>
      <c r="M202" s="12">
        <f t="shared" si="15"/>
        <v>0</v>
      </c>
    </row>
    <row r="203" spans="1:14" x14ac:dyDescent="0.25">
      <c r="A203" s="6" t="s">
        <v>39</v>
      </c>
      <c r="B203" s="50" t="s">
        <v>391</v>
      </c>
      <c r="C203" s="6" t="s">
        <v>134</v>
      </c>
      <c r="D203" s="7" t="s">
        <v>18</v>
      </c>
      <c r="E203" s="7" t="s">
        <v>26</v>
      </c>
      <c r="F203" s="6" t="str">
        <f t="shared" si="12"/>
        <v>DIFAL</v>
      </c>
      <c r="G203" s="38">
        <v>18</v>
      </c>
      <c r="H203" s="42">
        <v>10</v>
      </c>
      <c r="I203" s="42">
        <v>0</v>
      </c>
      <c r="J203" s="11"/>
      <c r="K203" s="28">
        <f t="shared" si="13"/>
        <v>0</v>
      </c>
      <c r="L203" s="12">
        <f t="shared" si="14"/>
        <v>0</v>
      </c>
      <c r="M203" s="12">
        <f t="shared" si="15"/>
        <v>0</v>
      </c>
    </row>
    <row r="204" spans="1:14" x14ac:dyDescent="0.25">
      <c r="A204" s="6" t="s">
        <v>392</v>
      </c>
      <c r="B204" s="50" t="s">
        <v>393</v>
      </c>
      <c r="C204" s="6" t="s">
        <v>134</v>
      </c>
      <c r="D204" s="7" t="s">
        <v>18</v>
      </c>
      <c r="E204" s="7" t="s">
        <v>26</v>
      </c>
      <c r="F204" s="6" t="str">
        <f t="shared" si="12"/>
        <v>DIFAL</v>
      </c>
      <c r="G204" s="38">
        <v>18</v>
      </c>
      <c r="H204" s="42">
        <v>10</v>
      </c>
      <c r="I204" s="42">
        <v>0</v>
      </c>
      <c r="J204" s="11"/>
      <c r="K204" s="28">
        <f t="shared" si="13"/>
        <v>0</v>
      </c>
      <c r="L204" s="12">
        <f t="shared" si="14"/>
        <v>0</v>
      </c>
      <c r="M204" s="12">
        <f t="shared" si="15"/>
        <v>0</v>
      </c>
    </row>
    <row r="205" spans="1:14" x14ac:dyDescent="0.25">
      <c r="A205" s="6" t="s">
        <v>394</v>
      </c>
      <c r="B205" s="50" t="s">
        <v>395</v>
      </c>
      <c r="C205" s="6" t="s">
        <v>134</v>
      </c>
      <c r="D205" s="7" t="s">
        <v>18</v>
      </c>
      <c r="E205" s="7" t="s">
        <v>26</v>
      </c>
      <c r="F205" s="6" t="str">
        <f t="shared" si="12"/>
        <v>DIFAL</v>
      </c>
      <c r="G205" s="38">
        <v>18</v>
      </c>
      <c r="H205" s="42">
        <v>10</v>
      </c>
      <c r="I205" s="42">
        <v>0</v>
      </c>
      <c r="J205" s="11"/>
      <c r="K205" s="28">
        <f t="shared" si="13"/>
        <v>0</v>
      </c>
      <c r="L205" s="12">
        <f t="shared" si="14"/>
        <v>0</v>
      </c>
      <c r="M205" s="12">
        <f t="shared" si="15"/>
        <v>0</v>
      </c>
    </row>
    <row r="206" spans="1:14" x14ac:dyDescent="0.25">
      <c r="A206" s="6" t="s">
        <v>396</v>
      </c>
      <c r="B206" s="50" t="s">
        <v>397</v>
      </c>
      <c r="C206" s="6" t="s">
        <v>134</v>
      </c>
      <c r="D206" s="7" t="s">
        <v>18</v>
      </c>
      <c r="E206" s="7" t="s">
        <v>26</v>
      </c>
      <c r="F206" s="6" t="str">
        <f t="shared" si="12"/>
        <v>DIFAL</v>
      </c>
      <c r="G206" s="38">
        <v>18</v>
      </c>
      <c r="H206" s="42">
        <v>10</v>
      </c>
      <c r="I206" s="42">
        <v>0</v>
      </c>
      <c r="J206" s="11"/>
      <c r="K206" s="28">
        <f t="shared" si="13"/>
        <v>0</v>
      </c>
      <c r="L206" s="12">
        <f t="shared" si="14"/>
        <v>0</v>
      </c>
      <c r="M206" s="12">
        <f t="shared" si="15"/>
        <v>0</v>
      </c>
    </row>
    <row r="207" spans="1:14" x14ac:dyDescent="0.25">
      <c r="A207" s="6" t="s">
        <v>398</v>
      </c>
      <c r="B207" s="50" t="s">
        <v>399</v>
      </c>
      <c r="C207" s="6" t="s">
        <v>134</v>
      </c>
      <c r="D207" s="7" t="s">
        <v>18</v>
      </c>
      <c r="E207" s="7" t="s">
        <v>26</v>
      </c>
      <c r="F207" s="6" t="str">
        <f t="shared" si="12"/>
        <v>DIFAL</v>
      </c>
      <c r="G207" s="38">
        <v>18</v>
      </c>
      <c r="H207" s="42">
        <v>10</v>
      </c>
      <c r="I207" s="42">
        <v>0</v>
      </c>
      <c r="J207" s="11"/>
      <c r="K207" s="28">
        <f t="shared" si="13"/>
        <v>0</v>
      </c>
      <c r="L207" s="12">
        <f t="shared" si="14"/>
        <v>0</v>
      </c>
      <c r="M207" s="12">
        <f t="shared" si="15"/>
        <v>0</v>
      </c>
    </row>
    <row r="208" spans="1:14" x14ac:dyDescent="0.25">
      <c r="A208" s="6" t="s">
        <v>400</v>
      </c>
      <c r="B208" s="50" t="s">
        <v>401</v>
      </c>
      <c r="C208" s="6" t="s">
        <v>134</v>
      </c>
      <c r="D208" s="7" t="s">
        <v>18</v>
      </c>
      <c r="E208" s="7" t="s">
        <v>26</v>
      </c>
      <c r="F208" s="6" t="str">
        <f t="shared" si="12"/>
        <v>DIFAL</v>
      </c>
      <c r="G208" s="38">
        <v>18</v>
      </c>
      <c r="H208" s="42">
        <v>10</v>
      </c>
      <c r="I208" s="42">
        <v>0</v>
      </c>
      <c r="J208" s="11"/>
      <c r="K208" s="28">
        <f t="shared" si="13"/>
        <v>0</v>
      </c>
      <c r="L208" s="12">
        <f t="shared" si="14"/>
        <v>0</v>
      </c>
      <c r="M208" s="12">
        <f t="shared" si="15"/>
        <v>0</v>
      </c>
    </row>
    <row r="209" spans="1:14" x14ac:dyDescent="0.25">
      <c r="A209" s="6" t="s">
        <v>402</v>
      </c>
      <c r="B209" s="50" t="s">
        <v>403</v>
      </c>
      <c r="C209" s="6" t="s">
        <v>134</v>
      </c>
      <c r="D209" s="7" t="s">
        <v>18</v>
      </c>
      <c r="E209" s="7" t="s">
        <v>26</v>
      </c>
      <c r="F209" s="6" t="str">
        <f t="shared" si="12"/>
        <v>DIFAL</v>
      </c>
      <c r="G209" s="38">
        <v>18</v>
      </c>
      <c r="H209" s="42">
        <v>10</v>
      </c>
      <c r="I209" s="42">
        <v>0</v>
      </c>
      <c r="J209" s="11"/>
      <c r="K209" s="28">
        <f t="shared" si="13"/>
        <v>0</v>
      </c>
      <c r="L209" s="12">
        <f t="shared" si="14"/>
        <v>0</v>
      </c>
      <c r="M209" s="12">
        <f t="shared" si="15"/>
        <v>0</v>
      </c>
    </row>
    <row r="210" spans="1:14" x14ac:dyDescent="0.25">
      <c r="A210" s="6" t="s">
        <v>404</v>
      </c>
      <c r="B210" s="50" t="s">
        <v>405</v>
      </c>
      <c r="C210" s="6" t="s">
        <v>134</v>
      </c>
      <c r="D210" s="7" t="s">
        <v>18</v>
      </c>
      <c r="E210" s="7" t="s">
        <v>26</v>
      </c>
      <c r="F210" s="6" t="str">
        <f t="shared" si="12"/>
        <v>DIFAL</v>
      </c>
      <c r="G210" s="38">
        <v>18</v>
      </c>
      <c r="H210" s="42">
        <v>10</v>
      </c>
      <c r="I210" s="42">
        <v>0</v>
      </c>
      <c r="J210" s="11"/>
      <c r="K210" s="28">
        <f t="shared" si="13"/>
        <v>0</v>
      </c>
      <c r="L210" s="12">
        <f t="shared" si="14"/>
        <v>0</v>
      </c>
      <c r="M210" s="12">
        <f t="shared" si="15"/>
        <v>0</v>
      </c>
    </row>
    <row r="211" spans="1:14" x14ac:dyDescent="0.25">
      <c r="A211" s="6" t="s">
        <v>406</v>
      </c>
      <c r="B211" s="50" t="s">
        <v>407</v>
      </c>
      <c r="C211" s="6" t="s">
        <v>134</v>
      </c>
      <c r="D211" s="7" t="s">
        <v>18</v>
      </c>
      <c r="E211" s="7" t="s">
        <v>26</v>
      </c>
      <c r="F211" s="6" t="str">
        <f t="shared" si="12"/>
        <v>DIFAL</v>
      </c>
      <c r="G211" s="38">
        <v>18</v>
      </c>
      <c r="H211" s="42">
        <v>10</v>
      </c>
      <c r="I211" s="42">
        <v>0</v>
      </c>
      <c r="J211" s="11"/>
      <c r="K211" s="28">
        <f t="shared" si="13"/>
        <v>0</v>
      </c>
      <c r="L211" s="12">
        <f t="shared" si="14"/>
        <v>0</v>
      </c>
      <c r="M211" s="12">
        <f t="shared" si="15"/>
        <v>0</v>
      </c>
    </row>
    <row r="212" spans="1:14" x14ac:dyDescent="0.25">
      <c r="A212" s="6" t="s">
        <v>408</v>
      </c>
      <c r="B212" s="50" t="s">
        <v>409</v>
      </c>
      <c r="C212" s="6" t="s">
        <v>134</v>
      </c>
      <c r="D212" s="7" t="s">
        <v>18</v>
      </c>
      <c r="E212" s="7" t="s">
        <v>26</v>
      </c>
      <c r="F212" s="6" t="str">
        <f t="shared" si="12"/>
        <v>DIFAL</v>
      </c>
      <c r="G212" s="38">
        <v>18</v>
      </c>
      <c r="H212" s="42">
        <v>10</v>
      </c>
      <c r="I212" s="42">
        <v>0</v>
      </c>
      <c r="J212" s="11"/>
      <c r="K212" s="28">
        <f t="shared" si="13"/>
        <v>0</v>
      </c>
      <c r="L212" s="12">
        <f t="shared" si="14"/>
        <v>0</v>
      </c>
      <c r="M212" s="12">
        <f t="shared" si="15"/>
        <v>0</v>
      </c>
    </row>
    <row r="213" spans="1:14" x14ac:dyDescent="0.25">
      <c r="A213" s="6" t="s">
        <v>410</v>
      </c>
      <c r="B213" s="50" t="s">
        <v>411</v>
      </c>
      <c r="C213" s="6" t="s">
        <v>134</v>
      </c>
      <c r="D213" s="7" t="s">
        <v>18</v>
      </c>
      <c r="E213" s="7" t="s">
        <v>26</v>
      </c>
      <c r="F213" s="6" t="str">
        <f t="shared" si="12"/>
        <v>DIFAL</v>
      </c>
      <c r="G213" s="38">
        <v>18</v>
      </c>
      <c r="H213" s="42">
        <v>10</v>
      </c>
      <c r="I213" s="42">
        <v>0</v>
      </c>
      <c r="J213" s="11"/>
      <c r="K213" s="28">
        <f t="shared" si="13"/>
        <v>0</v>
      </c>
      <c r="L213" s="12">
        <f t="shared" si="14"/>
        <v>0</v>
      </c>
      <c r="M213" s="12">
        <f t="shared" si="15"/>
        <v>0</v>
      </c>
    </row>
    <row r="214" spans="1:14" x14ac:dyDescent="0.25">
      <c r="A214" s="6" t="s">
        <v>412</v>
      </c>
      <c r="B214" s="50" t="s">
        <v>413</v>
      </c>
      <c r="C214" s="6" t="s">
        <v>134</v>
      </c>
      <c r="D214" s="7" t="s">
        <v>18</v>
      </c>
      <c r="E214" s="7" t="s">
        <v>26</v>
      </c>
      <c r="F214" s="6" t="str">
        <f t="shared" si="12"/>
        <v>DIFAL</v>
      </c>
      <c r="G214" s="38">
        <v>18</v>
      </c>
      <c r="H214" s="42">
        <v>10</v>
      </c>
      <c r="I214" s="42">
        <v>0</v>
      </c>
      <c r="J214" s="11"/>
      <c r="K214" s="28">
        <f t="shared" si="13"/>
        <v>0</v>
      </c>
      <c r="L214" s="12">
        <f t="shared" si="14"/>
        <v>0</v>
      </c>
      <c r="M214" s="12">
        <f t="shared" si="15"/>
        <v>0</v>
      </c>
      <c r="N214" t="s">
        <v>23</v>
      </c>
    </row>
    <row r="215" spans="1:14" x14ac:dyDescent="0.25">
      <c r="A215" s="6" t="s">
        <v>414</v>
      </c>
      <c r="B215" s="50" t="s">
        <v>415</v>
      </c>
      <c r="C215" s="6" t="s">
        <v>134</v>
      </c>
      <c r="D215" s="7" t="s">
        <v>18</v>
      </c>
      <c r="E215" s="7" t="s">
        <v>26</v>
      </c>
      <c r="F215" s="6" t="str">
        <f t="shared" si="12"/>
        <v>DIFAL</v>
      </c>
      <c r="G215" s="38">
        <v>18</v>
      </c>
      <c r="H215" s="42">
        <v>10</v>
      </c>
      <c r="I215" s="42">
        <v>0</v>
      </c>
      <c r="J215" s="11"/>
      <c r="K215" s="28">
        <f t="shared" si="13"/>
        <v>0</v>
      </c>
      <c r="L215" s="12">
        <f t="shared" si="14"/>
        <v>0</v>
      </c>
      <c r="M215" s="12">
        <f t="shared" si="15"/>
        <v>0</v>
      </c>
    </row>
    <row r="216" spans="1:14" x14ac:dyDescent="0.25">
      <c r="A216" s="6" t="s">
        <v>416</v>
      </c>
      <c r="B216" s="50" t="s">
        <v>417</v>
      </c>
      <c r="C216" s="6" t="s">
        <v>134</v>
      </c>
      <c r="D216" s="7" t="s">
        <v>18</v>
      </c>
      <c r="E216" s="7" t="s">
        <v>26</v>
      </c>
      <c r="F216" s="6" t="str">
        <f t="shared" si="12"/>
        <v>DIFAL</v>
      </c>
      <c r="G216" s="38">
        <v>18</v>
      </c>
      <c r="H216" s="42">
        <v>10</v>
      </c>
      <c r="I216" s="42">
        <v>0</v>
      </c>
      <c r="J216" s="11"/>
      <c r="K216" s="28">
        <f t="shared" si="13"/>
        <v>0</v>
      </c>
      <c r="L216" s="12">
        <f t="shared" si="14"/>
        <v>0</v>
      </c>
      <c r="M216" s="12">
        <f t="shared" si="15"/>
        <v>0</v>
      </c>
      <c r="N216" t="s">
        <v>23</v>
      </c>
    </row>
    <row r="217" spans="1:14" x14ac:dyDescent="0.25">
      <c r="A217" s="6" t="s">
        <v>418</v>
      </c>
      <c r="B217" s="50" t="s">
        <v>419</v>
      </c>
      <c r="C217" s="6" t="s">
        <v>134</v>
      </c>
      <c r="D217" s="7" t="s">
        <v>18</v>
      </c>
      <c r="E217" s="7" t="s">
        <v>26</v>
      </c>
      <c r="F217" s="6" t="str">
        <f t="shared" si="12"/>
        <v>DIFAL</v>
      </c>
      <c r="G217" s="38">
        <v>18</v>
      </c>
      <c r="H217" s="42">
        <v>10</v>
      </c>
      <c r="I217" s="42">
        <v>0</v>
      </c>
      <c r="J217" s="11"/>
      <c r="K217" s="28">
        <f t="shared" si="13"/>
        <v>0</v>
      </c>
      <c r="L217" s="12">
        <f t="shared" si="14"/>
        <v>0</v>
      </c>
      <c r="M217" s="12">
        <f t="shared" si="15"/>
        <v>0</v>
      </c>
      <c r="N217" t="s">
        <v>23</v>
      </c>
    </row>
    <row r="218" spans="1:14" x14ac:dyDescent="0.25">
      <c r="A218" s="6" t="s">
        <v>89</v>
      </c>
      <c r="B218" s="50" t="s">
        <v>289</v>
      </c>
      <c r="C218" s="6" t="s">
        <v>134</v>
      </c>
      <c r="D218" s="7" t="s">
        <v>18</v>
      </c>
      <c r="E218" s="7" t="s">
        <v>26</v>
      </c>
      <c r="F218" s="6" t="str">
        <f t="shared" si="12"/>
        <v>DIFAL</v>
      </c>
      <c r="G218" s="38">
        <v>18</v>
      </c>
      <c r="H218" s="42">
        <v>10</v>
      </c>
      <c r="I218" s="42">
        <v>0</v>
      </c>
      <c r="J218" s="11"/>
      <c r="K218" s="28">
        <f t="shared" si="13"/>
        <v>0</v>
      </c>
      <c r="L218" s="12">
        <f t="shared" si="14"/>
        <v>0</v>
      </c>
      <c r="M218" s="12">
        <f t="shared" si="15"/>
        <v>0</v>
      </c>
    </row>
    <row r="219" spans="1:14" x14ac:dyDescent="0.25">
      <c r="A219" s="6" t="s">
        <v>420</v>
      </c>
      <c r="B219" s="50" t="s">
        <v>421</v>
      </c>
      <c r="C219" s="6" t="s">
        <v>134</v>
      </c>
      <c r="D219" s="7" t="s">
        <v>18</v>
      </c>
      <c r="E219" s="7" t="s">
        <v>26</v>
      </c>
      <c r="F219" s="6" t="str">
        <f t="shared" si="12"/>
        <v>DIFAL</v>
      </c>
      <c r="G219" s="38">
        <v>18</v>
      </c>
      <c r="H219" s="42">
        <v>10</v>
      </c>
      <c r="I219" s="42">
        <v>0</v>
      </c>
      <c r="J219" s="11"/>
      <c r="K219" s="28">
        <f t="shared" si="13"/>
        <v>0</v>
      </c>
      <c r="L219" s="12">
        <f t="shared" si="14"/>
        <v>0</v>
      </c>
      <c r="M219" s="12">
        <f t="shared" si="15"/>
        <v>0</v>
      </c>
    </row>
    <row r="220" spans="1:14" x14ac:dyDescent="0.25">
      <c r="A220" s="6" t="s">
        <v>422</v>
      </c>
      <c r="B220" s="50" t="s">
        <v>423</v>
      </c>
      <c r="C220" s="6" t="s">
        <v>134</v>
      </c>
      <c r="D220" s="7" t="s">
        <v>18</v>
      </c>
      <c r="E220" s="7" t="s">
        <v>26</v>
      </c>
      <c r="F220" s="6" t="str">
        <f t="shared" si="12"/>
        <v>DIFAL</v>
      </c>
      <c r="G220" s="38">
        <v>18</v>
      </c>
      <c r="H220" s="42">
        <v>10</v>
      </c>
      <c r="I220" s="42">
        <v>0</v>
      </c>
      <c r="J220" s="11"/>
      <c r="K220" s="28">
        <f t="shared" si="13"/>
        <v>0</v>
      </c>
      <c r="L220" s="12">
        <f t="shared" si="14"/>
        <v>0</v>
      </c>
      <c r="M220" s="12">
        <f t="shared" si="15"/>
        <v>0</v>
      </c>
    </row>
    <row r="221" spans="1:14" x14ac:dyDescent="0.25">
      <c r="A221" s="6" t="s">
        <v>424</v>
      </c>
      <c r="B221" s="50" t="s">
        <v>425</v>
      </c>
      <c r="C221" s="6" t="s">
        <v>134</v>
      </c>
      <c r="D221" s="7" t="s">
        <v>18</v>
      </c>
      <c r="E221" s="7" t="s">
        <v>26</v>
      </c>
      <c r="F221" s="6" t="str">
        <f t="shared" si="12"/>
        <v>DIFAL</v>
      </c>
      <c r="G221" s="38">
        <v>18</v>
      </c>
      <c r="H221" s="42">
        <v>10</v>
      </c>
      <c r="I221" s="42">
        <v>0</v>
      </c>
      <c r="J221" s="11"/>
      <c r="K221" s="28">
        <f t="shared" si="13"/>
        <v>0</v>
      </c>
      <c r="L221" s="12">
        <f t="shared" si="14"/>
        <v>0</v>
      </c>
      <c r="M221" s="12">
        <f t="shared" si="15"/>
        <v>0</v>
      </c>
    </row>
    <row r="222" spans="1:14" x14ac:dyDescent="0.25">
      <c r="A222" s="6" t="s">
        <v>426</v>
      </c>
      <c r="B222" s="50" t="s">
        <v>427</v>
      </c>
      <c r="C222" s="6" t="s">
        <v>134</v>
      </c>
      <c r="D222" s="7" t="s">
        <v>18</v>
      </c>
      <c r="E222" s="7" t="s">
        <v>26</v>
      </c>
      <c r="F222" s="6" t="str">
        <f t="shared" si="12"/>
        <v>DIFAL</v>
      </c>
      <c r="G222" s="38">
        <v>18</v>
      </c>
      <c r="H222" s="42">
        <v>10</v>
      </c>
      <c r="I222" s="42">
        <v>0</v>
      </c>
      <c r="J222" s="11"/>
      <c r="K222" s="28">
        <f t="shared" si="13"/>
        <v>0</v>
      </c>
      <c r="L222" s="12">
        <f t="shared" si="14"/>
        <v>0</v>
      </c>
      <c r="M222" s="12">
        <f t="shared" si="15"/>
        <v>0</v>
      </c>
    </row>
    <row r="223" spans="1:14" x14ac:dyDescent="0.25">
      <c r="A223" s="6" t="s">
        <v>428</v>
      </c>
      <c r="B223" s="50" t="s">
        <v>429</v>
      </c>
      <c r="C223" s="6" t="s">
        <v>134</v>
      </c>
      <c r="D223" s="7" t="s">
        <v>18</v>
      </c>
      <c r="E223" s="7" t="s">
        <v>26</v>
      </c>
      <c r="F223" s="6" t="str">
        <f t="shared" si="12"/>
        <v>DIFAL</v>
      </c>
      <c r="G223" s="38">
        <v>18</v>
      </c>
      <c r="H223" s="42">
        <v>10</v>
      </c>
      <c r="I223" s="42">
        <v>0</v>
      </c>
      <c r="J223" s="11"/>
      <c r="K223" s="28">
        <f t="shared" si="13"/>
        <v>0</v>
      </c>
      <c r="L223" s="12">
        <f t="shared" si="14"/>
        <v>0</v>
      </c>
      <c r="M223" s="12">
        <f t="shared" si="15"/>
        <v>0</v>
      </c>
    </row>
    <row r="224" spans="1:14" x14ac:dyDescent="0.25">
      <c r="A224" s="6" t="s">
        <v>430</v>
      </c>
      <c r="B224" s="50" t="s">
        <v>431</v>
      </c>
      <c r="C224" s="6" t="s">
        <v>134</v>
      </c>
      <c r="D224" s="7" t="s">
        <v>18</v>
      </c>
      <c r="E224" s="7" t="s">
        <v>26</v>
      </c>
      <c r="F224" s="6" t="str">
        <f t="shared" si="12"/>
        <v>DIFAL</v>
      </c>
      <c r="G224" s="38">
        <v>18</v>
      </c>
      <c r="H224" s="42">
        <v>10</v>
      </c>
      <c r="I224" s="42">
        <v>0</v>
      </c>
      <c r="J224" s="11"/>
      <c r="K224" s="28">
        <f t="shared" si="13"/>
        <v>0</v>
      </c>
      <c r="L224" s="12">
        <f t="shared" si="14"/>
        <v>0</v>
      </c>
      <c r="M224" s="12">
        <f t="shared" si="15"/>
        <v>0</v>
      </c>
    </row>
    <row r="225" spans="1:13" x14ac:dyDescent="0.25">
      <c r="A225" s="6" t="s">
        <v>432</v>
      </c>
      <c r="B225" s="50" t="s">
        <v>433</v>
      </c>
      <c r="C225" s="6" t="s">
        <v>134</v>
      </c>
      <c r="D225" s="7" t="s">
        <v>18</v>
      </c>
      <c r="E225" s="7" t="s">
        <v>26</v>
      </c>
      <c r="F225" s="6" t="str">
        <f t="shared" si="12"/>
        <v>DIFAL</v>
      </c>
      <c r="G225" s="38">
        <v>18</v>
      </c>
      <c r="H225" s="42">
        <v>10</v>
      </c>
      <c r="I225" s="42">
        <v>0</v>
      </c>
      <c r="J225" s="11"/>
      <c r="K225" s="28">
        <f t="shared" si="13"/>
        <v>0</v>
      </c>
      <c r="L225" s="12">
        <f t="shared" si="14"/>
        <v>0</v>
      </c>
      <c r="M225" s="12">
        <f t="shared" si="15"/>
        <v>0</v>
      </c>
    </row>
    <row r="226" spans="1:13" x14ac:dyDescent="0.25">
      <c r="A226" s="6" t="s">
        <v>434</v>
      </c>
      <c r="B226" s="50" t="s">
        <v>435</v>
      </c>
      <c r="C226" s="6" t="s">
        <v>134</v>
      </c>
      <c r="D226" s="7" t="s">
        <v>18</v>
      </c>
      <c r="E226" s="7" t="s">
        <v>26</v>
      </c>
      <c r="F226" s="6" t="str">
        <f t="shared" si="12"/>
        <v>DIFAL</v>
      </c>
      <c r="G226" s="38">
        <v>18</v>
      </c>
      <c r="H226" s="42">
        <v>10</v>
      </c>
      <c r="I226" s="42">
        <v>0</v>
      </c>
      <c r="J226" s="11"/>
      <c r="K226" s="28">
        <f t="shared" si="13"/>
        <v>0</v>
      </c>
      <c r="L226" s="12">
        <f t="shared" si="14"/>
        <v>0</v>
      </c>
      <c r="M226" s="12">
        <f t="shared" si="15"/>
        <v>0</v>
      </c>
    </row>
    <row r="227" spans="1:13" x14ac:dyDescent="0.25">
      <c r="A227" s="6" t="s">
        <v>436</v>
      </c>
      <c r="B227" s="50" t="s">
        <v>437</v>
      </c>
      <c r="C227" s="6" t="s">
        <v>134</v>
      </c>
      <c r="D227" s="7" t="s">
        <v>18</v>
      </c>
      <c r="E227" s="7" t="s">
        <v>26</v>
      </c>
      <c r="F227" s="6" t="str">
        <f t="shared" si="12"/>
        <v>DIFAL</v>
      </c>
      <c r="G227" s="38">
        <v>18</v>
      </c>
      <c r="H227" s="42">
        <v>10</v>
      </c>
      <c r="I227" s="42">
        <v>0</v>
      </c>
      <c r="J227" s="11"/>
      <c r="K227" s="28">
        <f t="shared" si="13"/>
        <v>0</v>
      </c>
      <c r="L227" s="12">
        <f t="shared" si="14"/>
        <v>0</v>
      </c>
      <c r="M227" s="12">
        <f t="shared" si="15"/>
        <v>0</v>
      </c>
    </row>
    <row r="228" spans="1:13" x14ac:dyDescent="0.25">
      <c r="A228" s="6" t="s">
        <v>438</v>
      </c>
      <c r="B228" s="50" t="s">
        <v>439</v>
      </c>
      <c r="C228" s="6" t="s">
        <v>134</v>
      </c>
      <c r="D228" s="7" t="s">
        <v>18</v>
      </c>
      <c r="E228" s="7" t="s">
        <v>26</v>
      </c>
      <c r="F228" s="6" t="str">
        <f t="shared" si="12"/>
        <v>DIFAL</v>
      </c>
      <c r="G228" s="38">
        <v>18</v>
      </c>
      <c r="H228" s="42">
        <v>10</v>
      </c>
      <c r="I228" s="42">
        <v>0</v>
      </c>
      <c r="J228" s="11"/>
      <c r="K228" s="28">
        <f t="shared" si="13"/>
        <v>0</v>
      </c>
      <c r="L228" s="12">
        <f t="shared" si="14"/>
        <v>0</v>
      </c>
      <c r="M228" s="12">
        <f t="shared" si="15"/>
        <v>0</v>
      </c>
    </row>
    <row r="229" spans="1:13" x14ac:dyDescent="0.25">
      <c r="A229" s="6" t="s">
        <v>440</v>
      </c>
      <c r="B229" s="50" t="s">
        <v>441</v>
      </c>
      <c r="C229" s="6" t="s">
        <v>134</v>
      </c>
      <c r="D229" s="7" t="s">
        <v>18</v>
      </c>
      <c r="E229" s="7" t="s">
        <v>26</v>
      </c>
      <c r="F229" s="6" t="str">
        <f t="shared" si="12"/>
        <v>DIFAL</v>
      </c>
      <c r="G229" s="38">
        <v>18</v>
      </c>
      <c r="H229" s="42">
        <v>10</v>
      </c>
      <c r="I229" s="42">
        <v>0</v>
      </c>
      <c r="J229" s="11"/>
      <c r="K229" s="28">
        <f t="shared" si="13"/>
        <v>0</v>
      </c>
      <c r="L229" s="12">
        <f t="shared" si="14"/>
        <v>0</v>
      </c>
      <c r="M229" s="12">
        <f t="shared" si="15"/>
        <v>0</v>
      </c>
    </row>
    <row r="230" spans="1:13" x14ac:dyDescent="0.25">
      <c r="A230" s="6" t="s">
        <v>442</v>
      </c>
      <c r="B230" s="50" t="s">
        <v>289</v>
      </c>
      <c r="C230" s="6" t="s">
        <v>134</v>
      </c>
      <c r="D230" s="7" t="s">
        <v>18</v>
      </c>
      <c r="E230" s="7" t="s">
        <v>26</v>
      </c>
      <c r="F230" s="6" t="str">
        <f t="shared" si="12"/>
        <v>DIFAL</v>
      </c>
      <c r="G230" s="38">
        <v>18</v>
      </c>
      <c r="H230" s="42">
        <v>10</v>
      </c>
      <c r="I230" s="42">
        <v>0</v>
      </c>
      <c r="J230" s="11"/>
      <c r="K230" s="28">
        <f t="shared" si="13"/>
        <v>0</v>
      </c>
      <c r="L230" s="12">
        <f t="shared" si="14"/>
        <v>0</v>
      </c>
      <c r="M230" s="12">
        <f t="shared" si="15"/>
        <v>0</v>
      </c>
    </row>
    <row r="231" spans="1:13" x14ac:dyDescent="0.25">
      <c r="A231" s="6" t="s">
        <v>443</v>
      </c>
      <c r="B231" s="50" t="s">
        <v>444</v>
      </c>
      <c r="C231" s="6" t="s">
        <v>134</v>
      </c>
      <c r="D231" s="7" t="s">
        <v>18</v>
      </c>
      <c r="E231" s="7" t="s">
        <v>26</v>
      </c>
      <c r="F231" s="6" t="str">
        <f t="shared" si="12"/>
        <v>DIFAL</v>
      </c>
      <c r="G231" s="38">
        <v>18</v>
      </c>
      <c r="H231" s="42">
        <v>10</v>
      </c>
      <c r="I231" s="42">
        <v>0</v>
      </c>
      <c r="J231" s="11"/>
      <c r="K231" s="28">
        <f t="shared" si="13"/>
        <v>0</v>
      </c>
      <c r="L231" s="12">
        <f t="shared" si="14"/>
        <v>0</v>
      </c>
      <c r="M231" s="12">
        <f t="shared" si="15"/>
        <v>0</v>
      </c>
    </row>
    <row r="232" spans="1:13" x14ac:dyDescent="0.25">
      <c r="A232" s="6" t="s">
        <v>445</v>
      </c>
      <c r="B232" s="50" t="s">
        <v>446</v>
      </c>
      <c r="C232" s="6" t="s">
        <v>134</v>
      </c>
      <c r="D232" s="7" t="s">
        <v>18</v>
      </c>
      <c r="E232" s="7" t="s">
        <v>26</v>
      </c>
      <c r="F232" s="6" t="str">
        <f t="shared" si="12"/>
        <v>DIFAL</v>
      </c>
      <c r="G232" s="38">
        <v>18</v>
      </c>
      <c r="H232" s="42">
        <v>10</v>
      </c>
      <c r="I232" s="42">
        <v>0</v>
      </c>
      <c r="J232" s="11"/>
      <c r="K232" s="28">
        <f t="shared" si="13"/>
        <v>0</v>
      </c>
      <c r="L232" s="12">
        <f t="shared" si="14"/>
        <v>0</v>
      </c>
      <c r="M232" s="12">
        <f t="shared" si="15"/>
        <v>0</v>
      </c>
    </row>
    <row r="233" spans="1:13" x14ac:dyDescent="0.25">
      <c r="A233" s="6" t="s">
        <v>447</v>
      </c>
      <c r="B233" s="50" t="s">
        <v>448</v>
      </c>
      <c r="C233" s="6" t="s">
        <v>134</v>
      </c>
      <c r="D233" s="7" t="s">
        <v>18</v>
      </c>
      <c r="E233" s="7" t="s">
        <v>26</v>
      </c>
      <c r="F233" s="6" t="str">
        <f t="shared" si="12"/>
        <v>DIFAL</v>
      </c>
      <c r="G233" s="38">
        <v>18</v>
      </c>
      <c r="H233" s="42">
        <v>10</v>
      </c>
      <c r="I233" s="42">
        <v>0</v>
      </c>
      <c r="J233" s="11"/>
      <c r="K233" s="28">
        <f t="shared" si="13"/>
        <v>0</v>
      </c>
      <c r="L233" s="12">
        <f t="shared" si="14"/>
        <v>0</v>
      </c>
      <c r="M233" s="12">
        <f t="shared" si="15"/>
        <v>0</v>
      </c>
    </row>
    <row r="234" spans="1:13" x14ac:dyDescent="0.25">
      <c r="A234" s="6" t="s">
        <v>449</v>
      </c>
      <c r="B234" s="50" t="s">
        <v>450</v>
      </c>
      <c r="C234" s="6" t="s">
        <v>134</v>
      </c>
      <c r="D234" s="7" t="s">
        <v>18</v>
      </c>
      <c r="E234" s="7" t="s">
        <v>26</v>
      </c>
      <c r="F234" s="6" t="str">
        <f t="shared" si="12"/>
        <v>DIFAL</v>
      </c>
      <c r="G234" s="38">
        <v>18</v>
      </c>
      <c r="H234" s="42">
        <v>10</v>
      </c>
      <c r="I234" s="42">
        <v>0</v>
      </c>
      <c r="J234" s="11"/>
      <c r="K234" s="28">
        <f t="shared" si="13"/>
        <v>0</v>
      </c>
      <c r="L234" s="12">
        <f t="shared" si="14"/>
        <v>0</v>
      </c>
      <c r="M234" s="12">
        <f t="shared" si="15"/>
        <v>0</v>
      </c>
    </row>
    <row r="235" spans="1:13" x14ac:dyDescent="0.25">
      <c r="A235" s="6"/>
      <c r="B235" s="50"/>
      <c r="C235" s="6"/>
      <c r="D235" s="6"/>
      <c r="E235" s="6"/>
      <c r="F235" s="6"/>
      <c r="G235" s="42"/>
      <c r="H235" s="42"/>
      <c r="I235" s="42"/>
      <c r="J235" s="6"/>
      <c r="K235" s="6"/>
      <c r="L235" s="6"/>
      <c r="M235" s="6"/>
    </row>
    <row r="236" spans="1:13" ht="30" x14ac:dyDescent="0.25">
      <c r="A236" t="s">
        <v>451</v>
      </c>
      <c r="B236" s="51" t="s">
        <v>452</v>
      </c>
    </row>
    <row r="237" spans="1:13" x14ac:dyDescent="0.25">
      <c r="A237" t="s">
        <v>453</v>
      </c>
      <c r="B237" s="51" t="s">
        <v>454</v>
      </c>
    </row>
    <row r="238" spans="1:13" x14ac:dyDescent="0.25">
      <c r="A238" t="s">
        <v>455</v>
      </c>
    </row>
    <row r="239" spans="1:13" x14ac:dyDescent="0.25">
      <c r="A239" t="s">
        <v>456</v>
      </c>
      <c r="B239" s="51" t="s">
        <v>457</v>
      </c>
    </row>
    <row r="240" spans="1:13" x14ac:dyDescent="0.25">
      <c r="A240" t="s">
        <v>458</v>
      </c>
      <c r="B240" s="51" t="s">
        <v>459</v>
      </c>
    </row>
    <row r="241" spans="1:2" ht="30" x14ac:dyDescent="0.25">
      <c r="A241" t="s">
        <v>460</v>
      </c>
      <c r="B241" s="51" t="s">
        <v>461</v>
      </c>
    </row>
    <row r="242" spans="1:2" x14ac:dyDescent="0.25">
      <c r="A242" t="s">
        <v>462</v>
      </c>
      <c r="B242" s="51" t="s">
        <v>463</v>
      </c>
    </row>
    <row r="243" spans="1:2" x14ac:dyDescent="0.25">
      <c r="A243" t="s">
        <v>464</v>
      </c>
      <c r="B243" s="51" t="s">
        <v>465</v>
      </c>
    </row>
    <row r="244" spans="1:2" x14ac:dyDescent="0.25">
      <c r="A244" t="s">
        <v>464</v>
      </c>
      <c r="B244" s="51" t="s">
        <v>466</v>
      </c>
    </row>
    <row r="245" spans="1:2" x14ac:dyDescent="0.25">
      <c r="A245" t="s">
        <v>467</v>
      </c>
      <c r="B245" s="51" t="s">
        <v>468</v>
      </c>
    </row>
    <row r="246" spans="1:2" ht="45" x14ac:dyDescent="0.25">
      <c r="A246" t="s">
        <v>469</v>
      </c>
      <c r="B246" s="51" t="s">
        <v>470</v>
      </c>
    </row>
    <row r="247" spans="1:2" ht="60" x14ac:dyDescent="0.25">
      <c r="A247" t="s">
        <v>471</v>
      </c>
      <c r="B247" s="51" t="s">
        <v>472</v>
      </c>
    </row>
    <row r="248" spans="1:2" x14ac:dyDescent="0.25">
      <c r="A248" t="s">
        <v>473</v>
      </c>
      <c r="B248" s="51" t="s">
        <v>474</v>
      </c>
    </row>
    <row r="249" spans="1:2" x14ac:dyDescent="0.25">
      <c r="A249" t="s">
        <v>475</v>
      </c>
      <c r="B249" s="51" t="s">
        <v>476</v>
      </c>
    </row>
    <row r="250" spans="1:2" x14ac:dyDescent="0.25">
      <c r="A250" t="s">
        <v>477</v>
      </c>
    </row>
    <row r="251" spans="1:2" x14ac:dyDescent="0.25">
      <c r="A251" t="s">
        <v>478</v>
      </c>
    </row>
    <row r="252" spans="1:2" x14ac:dyDescent="0.25">
      <c r="A252" t="s">
        <v>479</v>
      </c>
      <c r="B252" s="51" t="s">
        <v>480</v>
      </c>
    </row>
    <row r="253" spans="1:2" x14ac:dyDescent="0.25">
      <c r="A253" t="s">
        <v>481</v>
      </c>
      <c r="B253" s="51" t="s">
        <v>482</v>
      </c>
    </row>
    <row r="254" spans="1:2" x14ac:dyDescent="0.25">
      <c r="A254" t="s">
        <v>483</v>
      </c>
      <c r="B254" s="51" t="s">
        <v>484</v>
      </c>
    </row>
    <row r="255" spans="1:2" x14ac:dyDescent="0.25">
      <c r="A255" t="s">
        <v>485</v>
      </c>
      <c r="B255" s="51" t="s">
        <v>486</v>
      </c>
    </row>
    <row r="256" spans="1:2" x14ac:dyDescent="0.25">
      <c r="A256" t="s">
        <v>487</v>
      </c>
      <c r="B256" s="51" t="s">
        <v>488</v>
      </c>
    </row>
    <row r="257" spans="1:2" x14ac:dyDescent="0.25">
      <c r="A257" t="s">
        <v>489</v>
      </c>
      <c r="B257" s="51" t="s">
        <v>490</v>
      </c>
    </row>
    <row r="258" spans="1:2" x14ac:dyDescent="0.25">
      <c r="A258" t="s">
        <v>491</v>
      </c>
      <c r="B258" s="51" t="s">
        <v>492</v>
      </c>
    </row>
    <row r="259" spans="1:2" x14ac:dyDescent="0.25">
      <c r="A259" t="s">
        <v>493</v>
      </c>
      <c r="B259" s="51" t="s">
        <v>494</v>
      </c>
    </row>
    <row r="260" spans="1:2" x14ac:dyDescent="0.25">
      <c r="A260" t="s">
        <v>495</v>
      </c>
      <c r="B260" s="51" t="s">
        <v>492</v>
      </c>
    </row>
    <row r="261" spans="1:2" x14ac:dyDescent="0.25">
      <c r="A261" t="s">
        <v>493</v>
      </c>
      <c r="B261" s="51" t="s">
        <v>496</v>
      </c>
    </row>
    <row r="262" spans="1:2" x14ac:dyDescent="0.25">
      <c r="A262" t="s">
        <v>497</v>
      </c>
      <c r="B262" s="51" t="s">
        <v>498</v>
      </c>
    </row>
    <row r="263" spans="1:2" x14ac:dyDescent="0.25">
      <c r="A263" t="s">
        <v>499</v>
      </c>
      <c r="B263" s="51" t="s">
        <v>500</v>
      </c>
    </row>
    <row r="264" spans="1:2" x14ac:dyDescent="0.25">
      <c r="A264" t="s">
        <v>501</v>
      </c>
      <c r="B264" s="51" t="s">
        <v>502</v>
      </c>
    </row>
    <row r="265" spans="1:2" x14ac:dyDescent="0.25">
      <c r="A265" t="s">
        <v>503</v>
      </c>
      <c r="B265" s="51" t="s">
        <v>504</v>
      </c>
    </row>
    <row r="266" spans="1:2" x14ac:dyDescent="0.25">
      <c r="A266" t="s">
        <v>505</v>
      </c>
      <c r="B266" s="51" t="s">
        <v>506</v>
      </c>
    </row>
    <row r="267" spans="1:2" x14ac:dyDescent="0.25">
      <c r="A267" t="s">
        <v>493</v>
      </c>
      <c r="B267" s="51" t="s">
        <v>507</v>
      </c>
    </row>
    <row r="268" spans="1:2" x14ac:dyDescent="0.25">
      <c r="A268" t="s">
        <v>493</v>
      </c>
      <c r="B268" s="51" t="s">
        <v>508</v>
      </c>
    </row>
    <row r="269" spans="1:2" x14ac:dyDescent="0.25">
      <c r="A269" t="s">
        <v>509</v>
      </c>
      <c r="B269" s="51" t="s">
        <v>510</v>
      </c>
    </row>
    <row r="270" spans="1:2" x14ac:dyDescent="0.25">
      <c r="A270" t="s">
        <v>511</v>
      </c>
      <c r="B270" s="51" t="s">
        <v>512</v>
      </c>
    </row>
    <row r="271" spans="1:2" x14ac:dyDescent="0.25">
      <c r="A271" t="s">
        <v>513</v>
      </c>
      <c r="B271" s="51" t="s">
        <v>514</v>
      </c>
    </row>
    <row r="272" spans="1:2" x14ac:dyDescent="0.25">
      <c r="A272" t="s">
        <v>515</v>
      </c>
      <c r="B272" s="51" t="s">
        <v>516</v>
      </c>
    </row>
    <row r="273" spans="1:2" x14ac:dyDescent="0.25">
      <c r="A273" t="s">
        <v>517</v>
      </c>
      <c r="B273" s="51" t="s">
        <v>518</v>
      </c>
    </row>
    <row r="274" spans="1:2" x14ac:dyDescent="0.25">
      <c r="A274" t="s">
        <v>519</v>
      </c>
      <c r="B274" s="51" t="s">
        <v>520</v>
      </c>
    </row>
    <row r="275" spans="1:2" x14ac:dyDescent="0.25">
      <c r="A275" t="s">
        <v>521</v>
      </c>
      <c r="B275" s="51" t="s">
        <v>522</v>
      </c>
    </row>
    <row r="276" spans="1:2" x14ac:dyDescent="0.25">
      <c r="A276" t="s">
        <v>523</v>
      </c>
      <c r="B276" s="51" t="s">
        <v>524</v>
      </c>
    </row>
    <row r="277" spans="1:2" ht="30" x14ac:dyDescent="0.25">
      <c r="A277" t="s">
        <v>525</v>
      </c>
      <c r="B277" s="51" t="s">
        <v>526</v>
      </c>
    </row>
    <row r="278" spans="1:2" x14ac:dyDescent="0.25">
      <c r="A278" t="s">
        <v>527</v>
      </c>
      <c r="B278" s="51" t="s">
        <v>528</v>
      </c>
    </row>
    <row r="279" spans="1:2" x14ac:dyDescent="0.25">
      <c r="A279" t="s">
        <v>527</v>
      </c>
      <c r="B279" s="51" t="s">
        <v>529</v>
      </c>
    </row>
    <row r="280" spans="1:2" x14ac:dyDescent="0.25">
      <c r="A280" t="s">
        <v>527</v>
      </c>
      <c r="B280" s="51" t="s">
        <v>530</v>
      </c>
    </row>
    <row r="281" spans="1:2" x14ac:dyDescent="0.25">
      <c r="A281" t="s">
        <v>527</v>
      </c>
      <c r="B281" s="51" t="s">
        <v>531</v>
      </c>
    </row>
    <row r="282" spans="1:2" x14ac:dyDescent="0.25">
      <c r="A282" t="s">
        <v>532</v>
      </c>
      <c r="B282" s="51" t="s">
        <v>533</v>
      </c>
    </row>
    <row r="283" spans="1:2" x14ac:dyDescent="0.25">
      <c r="A283" t="s">
        <v>534</v>
      </c>
      <c r="B283" s="51" t="s">
        <v>535</v>
      </c>
    </row>
    <row r="284" spans="1:2" ht="30" x14ac:dyDescent="0.25">
      <c r="A284" t="s">
        <v>536</v>
      </c>
      <c r="B284" s="51" t="s">
        <v>537</v>
      </c>
    </row>
    <row r="285" spans="1:2" x14ac:dyDescent="0.25">
      <c r="A285" t="s">
        <v>538</v>
      </c>
      <c r="B285" s="51" t="s">
        <v>539</v>
      </c>
    </row>
    <row r="286" spans="1:2" x14ac:dyDescent="0.25">
      <c r="A286" t="s">
        <v>538</v>
      </c>
      <c r="B286" s="51" t="s">
        <v>540</v>
      </c>
    </row>
    <row r="287" spans="1:2" ht="45" x14ac:dyDescent="0.25">
      <c r="A287" t="s">
        <v>541</v>
      </c>
      <c r="B287" s="51" t="s">
        <v>542</v>
      </c>
    </row>
    <row r="288" spans="1:2" ht="45" x14ac:dyDescent="0.25">
      <c r="A288" t="s">
        <v>543</v>
      </c>
      <c r="B288" s="51" t="s">
        <v>544</v>
      </c>
    </row>
    <row r="289" spans="1:2" x14ac:dyDescent="0.25">
      <c r="A289" t="s">
        <v>545</v>
      </c>
      <c r="B289" s="51" t="s">
        <v>546</v>
      </c>
    </row>
    <row r="290" spans="1:2" x14ac:dyDescent="0.25">
      <c r="A290" t="s">
        <v>545</v>
      </c>
      <c r="B290" s="51" t="s">
        <v>547</v>
      </c>
    </row>
    <row r="291" spans="1:2" x14ac:dyDescent="0.25">
      <c r="A291" t="s">
        <v>545</v>
      </c>
      <c r="B291" s="51" t="s">
        <v>548</v>
      </c>
    </row>
    <row r="292" spans="1:2" x14ac:dyDescent="0.25">
      <c r="A292" t="s">
        <v>549</v>
      </c>
      <c r="B292" s="51" t="s">
        <v>550</v>
      </c>
    </row>
    <row r="293" spans="1:2" x14ac:dyDescent="0.25">
      <c r="A293" t="s">
        <v>551</v>
      </c>
    </row>
    <row r="294" spans="1:2" x14ac:dyDescent="0.25">
      <c r="A294" t="s">
        <v>552</v>
      </c>
    </row>
    <row r="295" spans="1:2" x14ac:dyDescent="0.25">
      <c r="A295" t="s">
        <v>553</v>
      </c>
      <c r="B295" s="51" t="s">
        <v>554</v>
      </c>
    </row>
    <row r="296" spans="1:2" ht="30" x14ac:dyDescent="0.25">
      <c r="A296" t="s">
        <v>553</v>
      </c>
      <c r="B296" s="51" t="s">
        <v>555</v>
      </c>
    </row>
    <row r="297" spans="1:2" ht="30" x14ac:dyDescent="0.25">
      <c r="A297" t="s">
        <v>556</v>
      </c>
      <c r="B297" s="51" t="s">
        <v>557</v>
      </c>
    </row>
    <row r="298" spans="1:2" x14ac:dyDescent="0.25">
      <c r="A298" t="s">
        <v>558</v>
      </c>
      <c r="B298" s="51" t="s">
        <v>559</v>
      </c>
    </row>
    <row r="299" spans="1:2" x14ac:dyDescent="0.25">
      <c r="A299" t="s">
        <v>558</v>
      </c>
      <c r="B299" s="51" t="s">
        <v>560</v>
      </c>
    </row>
    <row r="300" spans="1:2" x14ac:dyDescent="0.25">
      <c r="A300" t="s">
        <v>561</v>
      </c>
    </row>
    <row r="301" spans="1:2" x14ac:dyDescent="0.25">
      <c r="A301" t="s">
        <v>562</v>
      </c>
    </row>
    <row r="302" spans="1:2" x14ac:dyDescent="0.25">
      <c r="A302" t="s">
        <v>563</v>
      </c>
      <c r="B302" s="51" t="s">
        <v>564</v>
      </c>
    </row>
    <row r="303" spans="1:2" x14ac:dyDescent="0.25">
      <c r="A303" t="s">
        <v>565</v>
      </c>
      <c r="B303" s="51" t="s">
        <v>566</v>
      </c>
    </row>
    <row r="304" spans="1:2" x14ac:dyDescent="0.25">
      <c r="A304" t="s">
        <v>493</v>
      </c>
      <c r="B304" s="51" t="s">
        <v>567</v>
      </c>
    </row>
    <row r="305" spans="1:2" x14ac:dyDescent="0.25">
      <c r="A305" t="s">
        <v>568</v>
      </c>
      <c r="B305" s="51" t="s">
        <v>569</v>
      </c>
    </row>
    <row r="306" spans="1:2" x14ac:dyDescent="0.25">
      <c r="A306" t="s">
        <v>568</v>
      </c>
      <c r="B306" s="51" t="s">
        <v>570</v>
      </c>
    </row>
    <row r="307" spans="1:2" x14ac:dyDescent="0.25">
      <c r="A307" t="s">
        <v>568</v>
      </c>
      <c r="B307" s="51" t="s">
        <v>571</v>
      </c>
    </row>
    <row r="308" spans="1:2" x14ac:dyDescent="0.25">
      <c r="A308" t="s">
        <v>572</v>
      </c>
      <c r="B308" s="51" t="s">
        <v>573</v>
      </c>
    </row>
    <row r="309" spans="1:2" x14ac:dyDescent="0.25">
      <c r="A309" t="s">
        <v>574</v>
      </c>
      <c r="B309" s="51" t="s">
        <v>575</v>
      </c>
    </row>
    <row r="310" spans="1:2" x14ac:dyDescent="0.25">
      <c r="A310" t="s">
        <v>576</v>
      </c>
      <c r="B310" s="51" t="s">
        <v>577</v>
      </c>
    </row>
    <row r="311" spans="1:2" x14ac:dyDescent="0.25">
      <c r="A311" t="s">
        <v>578</v>
      </c>
      <c r="B311" s="51" t="s">
        <v>579</v>
      </c>
    </row>
    <row r="312" spans="1:2" ht="30" x14ac:dyDescent="0.25">
      <c r="A312" t="s">
        <v>580</v>
      </c>
      <c r="B312" s="51" t="s">
        <v>581</v>
      </c>
    </row>
    <row r="313" spans="1:2" x14ac:dyDescent="0.25">
      <c r="A313" t="s">
        <v>582</v>
      </c>
      <c r="B313" s="51" t="s">
        <v>583</v>
      </c>
    </row>
    <row r="314" spans="1:2" x14ac:dyDescent="0.25">
      <c r="A314" t="s">
        <v>584</v>
      </c>
    </row>
    <row r="315" spans="1:2" x14ac:dyDescent="0.25">
      <c r="A315" t="s">
        <v>585</v>
      </c>
      <c r="B315" s="51" t="s">
        <v>586</v>
      </c>
    </row>
    <row r="316" spans="1:2" x14ac:dyDescent="0.25">
      <c r="A316" t="s">
        <v>585</v>
      </c>
      <c r="B316" s="51" t="s">
        <v>587</v>
      </c>
    </row>
    <row r="317" spans="1:2" x14ac:dyDescent="0.25">
      <c r="A317" t="s">
        <v>585</v>
      </c>
      <c r="B317" s="51" t="s">
        <v>588</v>
      </c>
    </row>
    <row r="318" spans="1:2" x14ac:dyDescent="0.25">
      <c r="A318" t="s">
        <v>589</v>
      </c>
      <c r="B318" s="51" t="s">
        <v>590</v>
      </c>
    </row>
    <row r="319" spans="1:2" x14ac:dyDescent="0.25">
      <c r="A319" t="s">
        <v>591</v>
      </c>
      <c r="B319" s="51" t="s">
        <v>592</v>
      </c>
    </row>
    <row r="320" spans="1:2" x14ac:dyDescent="0.25">
      <c r="A320" t="s">
        <v>593</v>
      </c>
      <c r="B320" s="51" t="s">
        <v>594</v>
      </c>
    </row>
    <row r="321" spans="1:2" x14ac:dyDescent="0.25">
      <c r="A321" t="s">
        <v>595</v>
      </c>
      <c r="B321" s="51" t="s">
        <v>596</v>
      </c>
    </row>
    <row r="322" spans="1:2" ht="30" x14ac:dyDescent="0.25">
      <c r="A322" t="s">
        <v>597</v>
      </c>
      <c r="B322" s="51" t="s">
        <v>598</v>
      </c>
    </row>
    <row r="323" spans="1:2" x14ac:dyDescent="0.25">
      <c r="A323" t="s">
        <v>597</v>
      </c>
      <c r="B323" s="51" t="s">
        <v>599</v>
      </c>
    </row>
    <row r="324" spans="1:2" x14ac:dyDescent="0.25">
      <c r="A324" t="s">
        <v>597</v>
      </c>
      <c r="B324" s="51" t="s">
        <v>600</v>
      </c>
    </row>
    <row r="325" spans="1:2" ht="30" x14ac:dyDescent="0.25">
      <c r="A325" t="s">
        <v>597</v>
      </c>
      <c r="B325" s="51" t="s">
        <v>601</v>
      </c>
    </row>
    <row r="326" spans="1:2" ht="30" x14ac:dyDescent="0.25">
      <c r="A326" t="s">
        <v>597</v>
      </c>
      <c r="B326" s="51" t="s">
        <v>602</v>
      </c>
    </row>
    <row r="327" spans="1:2" ht="30" x14ac:dyDescent="0.25">
      <c r="A327" t="s">
        <v>597</v>
      </c>
      <c r="B327" s="51" t="s">
        <v>603</v>
      </c>
    </row>
    <row r="328" spans="1:2" ht="30" x14ac:dyDescent="0.25">
      <c r="A328" t="s">
        <v>604</v>
      </c>
      <c r="B328" s="51" t="s">
        <v>605</v>
      </c>
    </row>
    <row r="329" spans="1:2" ht="30" x14ac:dyDescent="0.25">
      <c r="A329" t="s">
        <v>606</v>
      </c>
      <c r="B329" s="51" t="s">
        <v>607</v>
      </c>
    </row>
    <row r="330" spans="1:2" x14ac:dyDescent="0.25">
      <c r="A330" t="s">
        <v>608</v>
      </c>
      <c r="B330" s="51" t="s">
        <v>609</v>
      </c>
    </row>
    <row r="331" spans="1:2" x14ac:dyDescent="0.25">
      <c r="A331" t="s">
        <v>610</v>
      </c>
      <c r="B331" s="51" t="s">
        <v>611</v>
      </c>
    </row>
    <row r="332" spans="1:2" x14ac:dyDescent="0.25">
      <c r="A332" t="s">
        <v>612</v>
      </c>
      <c r="B332" s="51" t="s">
        <v>613</v>
      </c>
    </row>
    <row r="333" spans="1:2" x14ac:dyDescent="0.25">
      <c r="A333" t="s">
        <v>614</v>
      </c>
      <c r="B333" s="51" t="s">
        <v>615</v>
      </c>
    </row>
    <row r="334" spans="1:2" x14ac:dyDescent="0.25">
      <c r="A334" t="s">
        <v>616</v>
      </c>
      <c r="B334" s="51" t="s">
        <v>617</v>
      </c>
    </row>
    <row r="335" spans="1:2" x14ac:dyDescent="0.25">
      <c r="A335" t="s">
        <v>618</v>
      </c>
      <c r="B335" s="51" t="s">
        <v>619</v>
      </c>
    </row>
    <row r="336" spans="1:2" x14ac:dyDescent="0.25">
      <c r="A336" t="s">
        <v>620</v>
      </c>
      <c r="B336" s="51" t="s">
        <v>621</v>
      </c>
    </row>
    <row r="337" spans="1:2" x14ac:dyDescent="0.25">
      <c r="A337" t="s">
        <v>622</v>
      </c>
    </row>
    <row r="338" spans="1:2" x14ac:dyDescent="0.25">
      <c r="A338" t="s">
        <v>623</v>
      </c>
    </row>
    <row r="339" spans="1:2" x14ac:dyDescent="0.25">
      <c r="A339" t="s">
        <v>624</v>
      </c>
    </row>
    <row r="340" spans="1:2" x14ac:dyDescent="0.25">
      <c r="A340" t="s">
        <v>625</v>
      </c>
    </row>
    <row r="341" spans="1:2" x14ac:dyDescent="0.25">
      <c r="A341" t="s">
        <v>622</v>
      </c>
      <c r="B341" s="51" t="s">
        <v>626</v>
      </c>
    </row>
    <row r="342" spans="1:2" x14ac:dyDescent="0.25">
      <c r="A342" t="s">
        <v>623</v>
      </c>
    </row>
    <row r="343" spans="1:2" x14ac:dyDescent="0.25">
      <c r="A343" t="s">
        <v>624</v>
      </c>
    </row>
    <row r="344" spans="1:2" x14ac:dyDescent="0.25">
      <c r="A344" t="s">
        <v>627</v>
      </c>
      <c r="B344" s="51" t="s">
        <v>628</v>
      </c>
    </row>
    <row r="345" spans="1:2" x14ac:dyDescent="0.25">
      <c r="A345" t="s">
        <v>629</v>
      </c>
      <c r="B345" s="51" t="s">
        <v>630</v>
      </c>
    </row>
    <row r="346" spans="1:2" ht="45" x14ac:dyDescent="0.25">
      <c r="A346" t="s">
        <v>631</v>
      </c>
      <c r="B346" s="51" t="s">
        <v>632</v>
      </c>
    </row>
    <row r="347" spans="1:2" x14ac:dyDescent="0.25">
      <c r="A347" t="s">
        <v>633</v>
      </c>
      <c r="B347" s="51" t="s">
        <v>634</v>
      </c>
    </row>
    <row r="348" spans="1:2" x14ac:dyDescent="0.25">
      <c r="A348" t="s">
        <v>635</v>
      </c>
      <c r="B348" s="51" t="s">
        <v>636</v>
      </c>
    </row>
    <row r="349" spans="1:2" ht="30" x14ac:dyDescent="0.25">
      <c r="A349" t="s">
        <v>635</v>
      </c>
      <c r="B349" s="51" t="s">
        <v>637</v>
      </c>
    </row>
    <row r="350" spans="1:2" x14ac:dyDescent="0.25">
      <c r="A350" t="s">
        <v>638</v>
      </c>
      <c r="B350" s="51" t="s">
        <v>639</v>
      </c>
    </row>
    <row r="351" spans="1:2" x14ac:dyDescent="0.25">
      <c r="A351" t="s">
        <v>640</v>
      </c>
    </row>
    <row r="352" spans="1:2" x14ac:dyDescent="0.25">
      <c r="A352" t="s">
        <v>641</v>
      </c>
      <c r="B352" s="51" t="s">
        <v>642</v>
      </c>
    </row>
    <row r="353" spans="1:2" x14ac:dyDescent="0.25">
      <c r="A353" t="s">
        <v>641</v>
      </c>
      <c r="B353" s="51" t="s">
        <v>643</v>
      </c>
    </row>
    <row r="354" spans="1:2" x14ac:dyDescent="0.25">
      <c r="A354" t="s">
        <v>641</v>
      </c>
      <c r="B354" s="51" t="s">
        <v>644</v>
      </c>
    </row>
    <row r="355" spans="1:2" x14ac:dyDescent="0.25">
      <c r="A355" t="s">
        <v>641</v>
      </c>
      <c r="B355" s="51" t="s">
        <v>645</v>
      </c>
    </row>
    <row r="356" spans="1:2" x14ac:dyDescent="0.25">
      <c r="A356" t="s">
        <v>641</v>
      </c>
      <c r="B356" s="51" t="s">
        <v>646</v>
      </c>
    </row>
    <row r="357" spans="1:2" x14ac:dyDescent="0.25">
      <c r="A357" t="s">
        <v>641</v>
      </c>
      <c r="B357" s="51" t="s">
        <v>647</v>
      </c>
    </row>
    <row r="358" spans="1:2" x14ac:dyDescent="0.25">
      <c r="A358" t="s">
        <v>641</v>
      </c>
      <c r="B358" s="51" t="s">
        <v>648</v>
      </c>
    </row>
    <row r="359" spans="1:2" x14ac:dyDescent="0.25">
      <c r="A359" t="s">
        <v>649</v>
      </c>
      <c r="B359" s="51" t="s">
        <v>650</v>
      </c>
    </row>
    <row r="360" spans="1:2" x14ac:dyDescent="0.25">
      <c r="A360" t="s">
        <v>651</v>
      </c>
      <c r="B360" s="51" t="s">
        <v>652</v>
      </c>
    </row>
    <row r="361" spans="1:2" x14ac:dyDescent="0.25">
      <c r="A361" t="s">
        <v>653</v>
      </c>
      <c r="B361" s="51" t="s">
        <v>654</v>
      </c>
    </row>
    <row r="362" spans="1:2" x14ac:dyDescent="0.25">
      <c r="A362" t="s">
        <v>653</v>
      </c>
      <c r="B362" s="51" t="s">
        <v>655</v>
      </c>
    </row>
    <row r="363" spans="1:2" x14ac:dyDescent="0.25">
      <c r="A363" t="s">
        <v>653</v>
      </c>
      <c r="B363" s="51" t="s">
        <v>656</v>
      </c>
    </row>
    <row r="364" spans="1:2" ht="30" x14ac:dyDescent="0.25">
      <c r="A364" t="s">
        <v>657</v>
      </c>
      <c r="B364" s="51" t="s">
        <v>658</v>
      </c>
    </row>
    <row r="365" spans="1:2" x14ac:dyDescent="0.25">
      <c r="A365" t="s">
        <v>659</v>
      </c>
      <c r="B365" s="51" t="s">
        <v>660</v>
      </c>
    </row>
    <row r="366" spans="1:2" x14ac:dyDescent="0.25">
      <c r="A366" t="s">
        <v>661</v>
      </c>
    </row>
    <row r="367" spans="1:2" x14ac:dyDescent="0.25">
      <c r="A367" t="s">
        <v>662</v>
      </c>
    </row>
    <row r="368" spans="1:2" x14ac:dyDescent="0.25">
      <c r="A368" t="s">
        <v>663</v>
      </c>
    </row>
    <row r="369" spans="1:2" x14ac:dyDescent="0.25">
      <c r="A369" t="s">
        <v>664</v>
      </c>
    </row>
    <row r="370" spans="1:2" x14ac:dyDescent="0.25">
      <c r="A370" t="s">
        <v>665</v>
      </c>
      <c r="B370" s="51" t="s">
        <v>666</v>
      </c>
    </row>
    <row r="371" spans="1:2" x14ac:dyDescent="0.25">
      <c r="A371" t="s">
        <v>667</v>
      </c>
      <c r="B371" s="51" t="s">
        <v>668</v>
      </c>
    </row>
    <row r="372" spans="1:2" x14ac:dyDescent="0.25">
      <c r="A372" t="s">
        <v>669</v>
      </c>
      <c r="B372" s="51" t="s">
        <v>670</v>
      </c>
    </row>
    <row r="373" spans="1:2" ht="30" x14ac:dyDescent="0.25">
      <c r="A373" t="s">
        <v>671</v>
      </c>
      <c r="B373" s="51" t="s">
        <v>672</v>
      </c>
    </row>
    <row r="374" spans="1:2" x14ac:dyDescent="0.25">
      <c r="A374" t="s">
        <v>671</v>
      </c>
      <c r="B374" s="51" t="s">
        <v>673</v>
      </c>
    </row>
    <row r="375" spans="1:2" x14ac:dyDescent="0.25">
      <c r="A375" t="s">
        <v>671</v>
      </c>
      <c r="B375" s="51" t="s">
        <v>674</v>
      </c>
    </row>
    <row r="376" spans="1:2" x14ac:dyDescent="0.25">
      <c r="A376" t="s">
        <v>675</v>
      </c>
      <c r="B376" s="51" t="s">
        <v>676</v>
      </c>
    </row>
    <row r="377" spans="1:2" x14ac:dyDescent="0.25">
      <c r="A377" t="s">
        <v>677</v>
      </c>
      <c r="B377" s="51" t="s">
        <v>678</v>
      </c>
    </row>
    <row r="378" spans="1:2" x14ac:dyDescent="0.25">
      <c r="A378" t="s">
        <v>679</v>
      </c>
      <c r="B378" s="51" t="s">
        <v>680</v>
      </c>
    </row>
    <row r="379" spans="1:2" x14ac:dyDescent="0.25">
      <c r="A379" t="s">
        <v>681</v>
      </c>
      <c r="B379" s="51" t="s">
        <v>682</v>
      </c>
    </row>
    <row r="380" spans="1:2" x14ac:dyDescent="0.25">
      <c r="A380" t="s">
        <v>683</v>
      </c>
      <c r="B380" s="51" t="s">
        <v>684</v>
      </c>
    </row>
    <row r="381" spans="1:2" x14ac:dyDescent="0.25">
      <c r="A381" t="s">
        <v>685</v>
      </c>
      <c r="B381" s="51" t="s">
        <v>686</v>
      </c>
    </row>
    <row r="382" spans="1:2" x14ac:dyDescent="0.25">
      <c r="A382" t="s">
        <v>687</v>
      </c>
      <c r="B382" s="51" t="s">
        <v>688</v>
      </c>
    </row>
    <row r="383" spans="1:2" x14ac:dyDescent="0.25">
      <c r="A383" t="s">
        <v>687</v>
      </c>
      <c r="B383" s="51" t="s">
        <v>689</v>
      </c>
    </row>
    <row r="384" spans="1:2" x14ac:dyDescent="0.25">
      <c r="A384" t="s">
        <v>690</v>
      </c>
      <c r="B384" s="51" t="s">
        <v>691</v>
      </c>
    </row>
    <row r="385" spans="1:2" x14ac:dyDescent="0.25">
      <c r="A385" t="s">
        <v>692</v>
      </c>
      <c r="B385" s="51" t="s">
        <v>693</v>
      </c>
    </row>
    <row r="386" spans="1:2" x14ac:dyDescent="0.25">
      <c r="A386" t="s">
        <v>694</v>
      </c>
      <c r="B386" s="51" t="s">
        <v>695</v>
      </c>
    </row>
    <row r="387" spans="1:2" x14ac:dyDescent="0.25">
      <c r="A387" t="s">
        <v>696</v>
      </c>
      <c r="B387" s="51" t="s">
        <v>697</v>
      </c>
    </row>
    <row r="388" spans="1:2" x14ac:dyDescent="0.25">
      <c r="A388" t="s">
        <v>698</v>
      </c>
      <c r="B388" s="51" t="s">
        <v>699</v>
      </c>
    </row>
    <row r="389" spans="1:2" x14ac:dyDescent="0.25">
      <c r="A389" t="s">
        <v>700</v>
      </c>
      <c r="B389" s="51" t="s">
        <v>701</v>
      </c>
    </row>
    <row r="390" spans="1:2" ht="30" x14ac:dyDescent="0.25">
      <c r="A390" t="s">
        <v>702</v>
      </c>
      <c r="B390" s="51" t="s">
        <v>703</v>
      </c>
    </row>
    <row r="391" spans="1:2" ht="30" x14ac:dyDescent="0.25">
      <c r="A391" t="s">
        <v>704</v>
      </c>
      <c r="B391" s="51" t="s">
        <v>705</v>
      </c>
    </row>
    <row r="392" spans="1:2" x14ac:dyDescent="0.25">
      <c r="A392" t="s">
        <v>706</v>
      </c>
      <c r="B392" s="51" t="s">
        <v>707</v>
      </c>
    </row>
    <row r="393" spans="1:2" ht="30" x14ac:dyDescent="0.25">
      <c r="A393" t="s">
        <v>708</v>
      </c>
      <c r="B393" s="51" t="s">
        <v>709</v>
      </c>
    </row>
    <row r="394" spans="1:2" ht="30" x14ac:dyDescent="0.25">
      <c r="A394" t="s">
        <v>710</v>
      </c>
      <c r="B394" s="51" t="s">
        <v>711</v>
      </c>
    </row>
    <row r="395" spans="1:2" x14ac:dyDescent="0.25">
      <c r="A395" t="s">
        <v>712</v>
      </c>
      <c r="B395" s="51" t="s">
        <v>713</v>
      </c>
    </row>
    <row r="396" spans="1:2" x14ac:dyDescent="0.25">
      <c r="A396" t="s">
        <v>714</v>
      </c>
      <c r="B396" s="51" t="s">
        <v>715</v>
      </c>
    </row>
    <row r="397" spans="1:2" x14ac:dyDescent="0.25">
      <c r="A397" t="s">
        <v>716</v>
      </c>
      <c r="B397" s="51" t="s">
        <v>717</v>
      </c>
    </row>
    <row r="398" spans="1:2" x14ac:dyDescent="0.25">
      <c r="A398" t="s">
        <v>718</v>
      </c>
      <c r="B398" s="51" t="s">
        <v>719</v>
      </c>
    </row>
    <row r="399" spans="1:2" x14ac:dyDescent="0.25">
      <c r="A399" t="s">
        <v>720</v>
      </c>
      <c r="B399" s="51" t="s">
        <v>721</v>
      </c>
    </row>
    <row r="400" spans="1:2" x14ac:dyDescent="0.25">
      <c r="A400" t="s">
        <v>722</v>
      </c>
    </row>
    <row r="401" spans="1:2" x14ac:dyDescent="0.25">
      <c r="A401" t="s">
        <v>723</v>
      </c>
      <c r="B401" s="51" t="s">
        <v>724</v>
      </c>
    </row>
    <row r="402" spans="1:2" x14ac:dyDescent="0.25">
      <c r="A402" t="s">
        <v>725</v>
      </c>
    </row>
    <row r="403" spans="1:2" x14ac:dyDescent="0.25">
      <c r="A403" t="s">
        <v>726</v>
      </c>
    </row>
    <row r="404" spans="1:2" ht="30" x14ac:dyDescent="0.25">
      <c r="A404" t="s">
        <v>727</v>
      </c>
      <c r="B404" s="51" t="s">
        <v>728</v>
      </c>
    </row>
    <row r="405" spans="1:2" x14ac:dyDescent="0.25">
      <c r="A405" t="s">
        <v>729</v>
      </c>
    </row>
    <row r="406" spans="1:2" x14ac:dyDescent="0.25">
      <c r="A406" t="s">
        <v>730</v>
      </c>
    </row>
    <row r="407" spans="1:2" x14ac:dyDescent="0.25">
      <c r="A407" t="s">
        <v>731</v>
      </c>
      <c r="B407" s="51" t="s">
        <v>732</v>
      </c>
    </row>
    <row r="408" spans="1:2" ht="30" x14ac:dyDescent="0.25">
      <c r="A408" t="s">
        <v>733</v>
      </c>
      <c r="B408" s="51" t="s">
        <v>734</v>
      </c>
    </row>
    <row r="409" spans="1:2" x14ac:dyDescent="0.25">
      <c r="A409" t="s">
        <v>735</v>
      </c>
      <c r="B409" s="51" t="s">
        <v>736</v>
      </c>
    </row>
    <row r="410" spans="1:2" ht="30" x14ac:dyDescent="0.25">
      <c r="A410" t="s">
        <v>737</v>
      </c>
      <c r="B410" s="51" t="s">
        <v>738</v>
      </c>
    </row>
    <row r="411" spans="1:2" x14ac:dyDescent="0.25">
      <c r="A411" t="s">
        <v>739</v>
      </c>
      <c r="B411" s="51" t="s">
        <v>740</v>
      </c>
    </row>
    <row r="412" spans="1:2" x14ac:dyDescent="0.25">
      <c r="A412" t="s">
        <v>741</v>
      </c>
      <c r="B412" s="51" t="s">
        <v>742</v>
      </c>
    </row>
    <row r="413" spans="1:2" x14ac:dyDescent="0.25">
      <c r="A413" t="s">
        <v>743</v>
      </c>
      <c r="B413" s="51" t="s">
        <v>744</v>
      </c>
    </row>
    <row r="414" spans="1:2" x14ac:dyDescent="0.25">
      <c r="A414" t="s">
        <v>745</v>
      </c>
      <c r="B414" s="51" t="s">
        <v>746</v>
      </c>
    </row>
    <row r="415" spans="1:2" x14ac:dyDescent="0.25">
      <c r="A415" t="s">
        <v>747</v>
      </c>
      <c r="B415" s="51" t="s">
        <v>748</v>
      </c>
    </row>
    <row r="416" spans="1:2" x14ac:dyDescent="0.25">
      <c r="A416" t="s">
        <v>749</v>
      </c>
      <c r="B416" s="51" t="s">
        <v>750</v>
      </c>
    </row>
    <row r="417" spans="1:2" x14ac:dyDescent="0.25">
      <c r="A417" t="s">
        <v>749</v>
      </c>
      <c r="B417" s="51" t="s">
        <v>751</v>
      </c>
    </row>
    <row r="418" spans="1:2" x14ac:dyDescent="0.25">
      <c r="A418" t="s">
        <v>752</v>
      </c>
      <c r="B418" s="51" t="s">
        <v>753</v>
      </c>
    </row>
    <row r="419" spans="1:2" x14ac:dyDescent="0.25">
      <c r="A419" t="s">
        <v>754</v>
      </c>
      <c r="B419" s="51" t="s">
        <v>755</v>
      </c>
    </row>
    <row r="420" spans="1:2" x14ac:dyDescent="0.25">
      <c r="A420" t="s">
        <v>756</v>
      </c>
      <c r="B420" s="51" t="s">
        <v>757</v>
      </c>
    </row>
    <row r="421" spans="1:2" ht="30" x14ac:dyDescent="0.25">
      <c r="A421" t="s">
        <v>758</v>
      </c>
      <c r="B421" s="51" t="s">
        <v>759</v>
      </c>
    </row>
    <row r="422" spans="1:2" x14ac:dyDescent="0.25">
      <c r="A422" t="s">
        <v>760</v>
      </c>
      <c r="B422" s="51" t="s">
        <v>761</v>
      </c>
    </row>
    <row r="423" spans="1:2" x14ac:dyDescent="0.25">
      <c r="A423" t="s">
        <v>762</v>
      </c>
      <c r="B423" s="51" t="s">
        <v>763</v>
      </c>
    </row>
    <row r="424" spans="1:2" x14ac:dyDescent="0.25">
      <c r="A424" t="s">
        <v>762</v>
      </c>
      <c r="B424" s="51" t="s">
        <v>764</v>
      </c>
    </row>
    <row r="425" spans="1:2" x14ac:dyDescent="0.25">
      <c r="A425" t="s">
        <v>765</v>
      </c>
      <c r="B425" s="51" t="s">
        <v>766</v>
      </c>
    </row>
    <row r="426" spans="1:2" x14ac:dyDescent="0.25">
      <c r="A426" t="s">
        <v>767</v>
      </c>
      <c r="B426" s="51" t="s">
        <v>768</v>
      </c>
    </row>
    <row r="427" spans="1:2" x14ac:dyDescent="0.25">
      <c r="A427" t="s">
        <v>769</v>
      </c>
      <c r="B427" s="51" t="s">
        <v>770</v>
      </c>
    </row>
    <row r="428" spans="1:2" x14ac:dyDescent="0.25">
      <c r="A428" t="s">
        <v>771</v>
      </c>
      <c r="B428" s="51" t="s">
        <v>772</v>
      </c>
    </row>
    <row r="429" spans="1:2" x14ac:dyDescent="0.25">
      <c r="A429" t="s">
        <v>773</v>
      </c>
      <c r="B429" s="51" t="s">
        <v>774</v>
      </c>
    </row>
    <row r="430" spans="1:2" ht="30" x14ac:dyDescent="0.25">
      <c r="A430" t="s">
        <v>775</v>
      </c>
      <c r="B430" s="51" t="s">
        <v>776</v>
      </c>
    </row>
    <row r="431" spans="1:2" x14ac:dyDescent="0.25">
      <c r="A431" t="s">
        <v>493</v>
      </c>
      <c r="B431" s="51" t="s">
        <v>777</v>
      </c>
    </row>
    <row r="432" spans="1:2" x14ac:dyDescent="0.25">
      <c r="A432" t="s">
        <v>493</v>
      </c>
      <c r="B432" s="51" t="s">
        <v>778</v>
      </c>
    </row>
    <row r="433" spans="1:2" x14ac:dyDescent="0.25">
      <c r="A433" t="s">
        <v>775</v>
      </c>
      <c r="B433" s="51" t="s">
        <v>779</v>
      </c>
    </row>
    <row r="434" spans="1:2" x14ac:dyDescent="0.25">
      <c r="A434" t="s">
        <v>775</v>
      </c>
      <c r="B434" s="51" t="s">
        <v>780</v>
      </c>
    </row>
    <row r="435" spans="1:2" x14ac:dyDescent="0.25">
      <c r="A435" t="s">
        <v>781</v>
      </c>
      <c r="B435" s="51" t="s">
        <v>782</v>
      </c>
    </row>
    <row r="436" spans="1:2" x14ac:dyDescent="0.25">
      <c r="A436" t="s">
        <v>783</v>
      </c>
      <c r="B436" s="51" t="s">
        <v>784</v>
      </c>
    </row>
    <row r="437" spans="1:2" x14ac:dyDescent="0.25">
      <c r="A437" t="s">
        <v>785</v>
      </c>
      <c r="B437" s="51" t="s">
        <v>786</v>
      </c>
    </row>
    <row r="438" spans="1:2" x14ac:dyDescent="0.25">
      <c r="A438" t="s">
        <v>787</v>
      </c>
      <c r="B438" s="51" t="s">
        <v>788</v>
      </c>
    </row>
    <row r="439" spans="1:2" x14ac:dyDescent="0.25">
      <c r="A439" t="s">
        <v>785</v>
      </c>
      <c r="B439" s="51" t="s">
        <v>789</v>
      </c>
    </row>
    <row r="440" spans="1:2" x14ac:dyDescent="0.25">
      <c r="A440" t="s">
        <v>790</v>
      </c>
      <c r="B440" s="51" t="s">
        <v>791</v>
      </c>
    </row>
    <row r="441" spans="1:2" x14ac:dyDescent="0.25">
      <c r="A441" t="s">
        <v>790</v>
      </c>
      <c r="B441" s="51" t="s">
        <v>792</v>
      </c>
    </row>
    <row r="442" spans="1:2" x14ac:dyDescent="0.25">
      <c r="A442" t="s">
        <v>790</v>
      </c>
      <c r="B442" s="51" t="s">
        <v>793</v>
      </c>
    </row>
    <row r="443" spans="1:2" x14ac:dyDescent="0.25">
      <c r="A443" t="s">
        <v>794</v>
      </c>
      <c r="B443" s="51" t="s">
        <v>795</v>
      </c>
    </row>
    <row r="444" spans="1:2" ht="30" x14ac:dyDescent="0.25">
      <c r="A444" t="s">
        <v>796</v>
      </c>
      <c r="B444" s="51" t="s">
        <v>797</v>
      </c>
    </row>
    <row r="445" spans="1:2" ht="30" x14ac:dyDescent="0.25">
      <c r="A445" t="s">
        <v>798</v>
      </c>
      <c r="B445" s="51" t="s">
        <v>799</v>
      </c>
    </row>
    <row r="446" spans="1:2" ht="30" x14ac:dyDescent="0.25">
      <c r="A446" t="s">
        <v>800</v>
      </c>
      <c r="B446" s="51" t="s">
        <v>801</v>
      </c>
    </row>
    <row r="447" spans="1:2" x14ac:dyDescent="0.25">
      <c r="A447" t="s">
        <v>802</v>
      </c>
      <c r="B447" s="51" t="s">
        <v>803</v>
      </c>
    </row>
    <row r="448" spans="1:2" x14ac:dyDescent="0.25">
      <c r="A448" t="s">
        <v>804</v>
      </c>
    </row>
    <row r="449" spans="1:2" x14ac:dyDescent="0.25">
      <c r="A449" t="s">
        <v>805</v>
      </c>
      <c r="B449" s="51" t="s">
        <v>806</v>
      </c>
    </row>
    <row r="450" spans="1:2" x14ac:dyDescent="0.25">
      <c r="A450" t="s">
        <v>805</v>
      </c>
      <c r="B450" s="51" t="s">
        <v>807</v>
      </c>
    </row>
    <row r="451" spans="1:2" x14ac:dyDescent="0.25">
      <c r="A451" t="s">
        <v>805</v>
      </c>
      <c r="B451" s="51" t="s">
        <v>808</v>
      </c>
    </row>
    <row r="452" spans="1:2" x14ac:dyDescent="0.25">
      <c r="A452" t="s">
        <v>805</v>
      </c>
      <c r="B452" s="51" t="s">
        <v>809</v>
      </c>
    </row>
  </sheetData>
  <dataValidations count="2">
    <dataValidation type="list" allowBlank="1" showInputMessage="1" showErrorMessage="1" sqref="D2:D234" xr:uid="{00000000-0002-0000-0000-000000000000}">
      <formula1>"EXTERNA,INTERNA"</formula1>
    </dataValidation>
    <dataValidation type="list" allowBlank="1" showInputMessage="1" showErrorMessage="1" sqref="E2:E234" xr:uid="{00000000-0002-0000-0000-000001000000}">
      <formula1>"NACIONAL,IMPORTADA"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 Felipe | Platinum TI</dc:creator>
  <cp:lastModifiedBy>Suporte Platinum</cp:lastModifiedBy>
  <dcterms:created xsi:type="dcterms:W3CDTF">2024-08-28T17:16:24Z</dcterms:created>
  <dcterms:modified xsi:type="dcterms:W3CDTF">2025-04-02T19:58:18Z</dcterms:modified>
</cp:coreProperties>
</file>