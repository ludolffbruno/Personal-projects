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udolff\Desktop\Antigravity Projetos\PYTHON CALCULO ST - Copia\Fase 2 - ST Saida\"/>
    </mc:Choice>
  </mc:AlternateContent>
  <xr:revisionPtr revIDLastSave="0" documentId="13_ncr:1_{9CEBA895-0795-4AA5-ACBF-DA58FEC411AA}" xr6:coauthVersionLast="47" xr6:coauthVersionMax="47" xr10:uidLastSave="{00000000-0000-0000-0000-000000000000}"/>
  <bookViews>
    <workbookView xWindow="-120" yWindow="-120" windowWidth="29040" windowHeight="15720" xr2:uid="{00000000-000D-0000-FFFF-FFFF00000000}"/>
  </bookViews>
  <sheets>
    <sheet name="MATRIZ_SAIDA" sheetId="1" r:id="rId1"/>
  </sheets>
  <definedNames>
    <definedName name="_xlnm._FilterDatabase" localSheetId="0" hidden="1">MATRIZ_SAIDA!$A$3:$K$3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5" i="1" l="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alcChain>
</file>

<file path=xl/sharedStrings.xml><?xml version="1.0" encoding="utf-8"?>
<sst xmlns="http://schemas.openxmlformats.org/spreadsheetml/2006/main" count="765" uniqueCount="716">
  <si>
    <t>MATRIZ ST/DIFAL - SAIDAS | Origem: RJ | Tabela ICMS 2026 | v2.0</t>
  </si>
  <si>
    <t>INSTRUCOES: Preencha as colunas AMARELAS. Se 'Consumidor Final' = SIM, o programa usara base dupla/unica em vez de MVA.</t>
  </si>
  <si>
    <t>NCM</t>
  </si>
  <si>
    <t>Produto</t>
  </si>
  <si>
    <t>UF Destino *</t>
  </si>
  <si>
    <t>Cons. Final? *</t>
  </si>
  <si>
    <t>Contribuinte (IE)? *</t>
  </si>
  <si>
    <t>Acordo ST? *</t>
  </si>
  <si>
    <t>Importado? *</t>
  </si>
  <si>
    <t>MVA (%) *</t>
  </si>
  <si>
    <t>Aliq. Inter (%)</t>
  </si>
  <si>
    <t>Aliq. Intra (%)</t>
  </si>
  <si>
    <t>Observacoes</t>
  </si>
  <si>
    <t>7614</t>
  </si>
  <si>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</si>
  <si>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AC</t>
  </si>
  <si>
    <t>SIM</t>
  </si>
  <si>
    <t>8504</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</si>
  <si>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</si>
  <si>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AL</t>
  </si>
  <si>
    <t>NAO</t>
  </si>
  <si>
    <t>8517</t>
  </si>
  <si>
    <t>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t>
  </si>
  <si>
    <t>AM</t>
  </si>
  <si>
    <t>8518</t>
  </si>
  <si>
    <t>Microfones e seus suportes; altofalantes, mesmo montados nos seus receptáculos, fones de ouvido (auscultadores), mesmo combinados com microfone e conjuntos ou sortidos constituídos por um microfone e um ou mais alto-falantes, amplificadores elétricos de audiofreqüência, aparelhos elétricos de amplificação de som; suas partes e acessórios; exceto os de uso automotivo</t>
  </si>
  <si>
    <t>AP</t>
  </si>
  <si>
    <t>8519</t>
  </si>
  <si>
    <t>Aparelhos de radiodifusão suscetíveis de funcionarem sem fonte externa de energia. Aparelhos de gravação de som; aparelhos de reprodução de som; aparelhos de gravação e de reprodução de som; partes e acessórios; exceto os de uso automotivo</t>
  </si>
  <si>
    <t>BA</t>
  </si>
  <si>
    <t>8536</t>
  </si>
  <si>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</si>
  <si>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CE</t>
  </si>
  <si>
    <t>8544</t>
  </si>
  <si>
    <t>DF</t>
  </si>
  <si>
    <t>2712.10.00</t>
  </si>
  <si>
    <t>VASELINA LIQUIDA 500ML</t>
  </si>
  <si>
    <t>ES</t>
  </si>
  <si>
    <t>2901.29.00</t>
  </si>
  <si>
    <t>LIMPA CONTATO SPRAY  210ML</t>
  </si>
  <si>
    <t>GO</t>
  </si>
  <si>
    <t>2905.12.20</t>
  </si>
  <si>
    <t>ALCOOL ISOPROPOLICO 1 LITRO</t>
  </si>
  <si>
    <t>MA</t>
  </si>
  <si>
    <t>2931.90.29</t>
  </si>
  <si>
    <t>PASTA TERMICA 500G IMPLASTEC</t>
  </si>
  <si>
    <t>MT</t>
  </si>
  <si>
    <t>3215.11.00</t>
  </si>
  <si>
    <t>GARRAFA DE TINTA 504 T504120AL PRETO EPSON</t>
  </si>
  <si>
    <t>MS</t>
  </si>
  <si>
    <t>3215.19.00</t>
  </si>
  <si>
    <t>GARRAFA DE TINTA 504 T504220 CIANO EPSON</t>
  </si>
  <si>
    <t>MG</t>
  </si>
  <si>
    <t>3402.90.39</t>
  </si>
  <si>
    <t>LIMPA TELA 120ML COM PANO MICROFIBRA</t>
  </si>
  <si>
    <t>PA</t>
  </si>
  <si>
    <t>3506.10.10</t>
  </si>
  <si>
    <t>COLA INSTANTÂNEA SUPER BONDER</t>
  </si>
  <si>
    <t>PB</t>
  </si>
  <si>
    <t>3506.10.90</t>
  </si>
  <si>
    <t>COLA BASTÃO 40G PRITT</t>
  </si>
  <si>
    <t>PR</t>
  </si>
  <si>
    <t>3701.20.10</t>
  </si>
  <si>
    <t>FILME FUJI P/ CAMERA INSTAX MINI 10 POSES BRANCO</t>
  </si>
  <si>
    <t>PE</t>
  </si>
  <si>
    <t>3703.10.10</t>
  </si>
  <si>
    <t>MINI STUDIO BOX CABINE FOTOGRAFICA</t>
  </si>
  <si>
    <t>PI</t>
  </si>
  <si>
    <t>3824.99.41</t>
  </si>
  <si>
    <t>LIMPA CONTATO SPRAY 350ML</t>
  </si>
  <si>
    <t>RN</t>
  </si>
  <si>
    <t>3827.11.90</t>
  </si>
  <si>
    <t>LIMPA CONTATO SPRAY 250ML</t>
  </si>
  <si>
    <t>RS</t>
  </si>
  <si>
    <t>3903.30.20</t>
  </si>
  <si>
    <t>SUPORTE HEADSET PARA MONITOR C/FITA DUPLA FACE</t>
  </si>
  <si>
    <t>RO</t>
  </si>
  <si>
    <t>3909.50.29</t>
  </si>
  <si>
    <t>CAPA PARA CELULAR  SILICONE TRANSPARENTE</t>
  </si>
  <si>
    <t>RR</t>
  </si>
  <si>
    <t>3919.10.90</t>
  </si>
  <si>
    <t>CARTUCHO/ROLO DE ETIQUETA M21-750-499  BLACK ON WHITE BRADY</t>
  </si>
  <si>
    <t>SC</t>
  </si>
  <si>
    <t>3919.90.90</t>
  </si>
  <si>
    <t>PELICULA DE HYDROGEL PARA CELULAR</t>
  </si>
  <si>
    <t>SP</t>
  </si>
  <si>
    <t>3920.10.99</t>
  </si>
  <si>
    <t>PLASTICO BOLHA 1,30 X 100 MTS</t>
  </si>
  <si>
    <t>SE</t>
  </si>
  <si>
    <t>3920.20.19</t>
  </si>
  <si>
    <t>LAÇO MÁGICO G</t>
  </si>
  <si>
    <t>TO</t>
  </si>
  <si>
    <t>3920.20.90</t>
  </si>
  <si>
    <t>CAPA PARA ENCADERNAÇÃO PP A4 COM 50 UND CRISTAL</t>
  </si>
  <si>
    <t>3920.30.00</t>
  </si>
  <si>
    <t>DISPLAY DE MESA L  A6 10 X 15CM ACRILICO TRANSPARENTE</t>
  </si>
  <si>
    <t>3920.99.10</t>
  </si>
  <si>
    <t>PELICULA DE VIDRO 3D PARA CELULAR</t>
  </si>
  <si>
    <t>3921.90.90</t>
  </si>
  <si>
    <t>CAPA PROTETORA PARA IPAD  10.2" ANTI-SHOCK SURVIVOR</t>
  </si>
  <si>
    <t>3923.10.90</t>
  </si>
  <si>
    <t>CAIXA ARQUIVO MORTO OFICIO</t>
  </si>
  <si>
    <t>3923.21.10</t>
  </si>
  <si>
    <t>ENVELOPE DE SEGURANÇA PARA CORREIOS 12 X 18</t>
  </si>
  <si>
    <t>3924.90.00</t>
  </si>
  <si>
    <t>CAIXA PLASTICA ORGANIZADORA 16L RATTAN</t>
  </si>
  <si>
    <t>3926.90.90</t>
  </si>
  <si>
    <t>ABRAÇADEIRA EM NYLON PARA IDENTIFICAÇÃO COM 100 UN</t>
  </si>
  <si>
    <t>4005.91.90</t>
  </si>
  <si>
    <t>FITA ISOLANTE AUTOFUSAO 19MM X 10MM PRETO 3M</t>
  </si>
  <si>
    <t>4015.19.00</t>
  </si>
  <si>
    <t>LUVA NITRÍLICA DESCARTAVEL DA90200 AZUL COM 100 UND DANNY</t>
  </si>
  <si>
    <t>4016.10.90</t>
  </si>
  <si>
    <t>APOIO DE PUNHO PARA TECLADO CONFORT PRETO RELIZA</t>
  </si>
  <si>
    <t>4202.12.10</t>
  </si>
  <si>
    <t>4202.12.20</t>
  </si>
  <si>
    <t>4202.32.00</t>
  </si>
  <si>
    <t>4202.39.00</t>
  </si>
  <si>
    <t>4202.92.00</t>
  </si>
  <si>
    <t>Mochila/mala/capa</t>
  </si>
  <si>
    <t>CAPA PARA TABLET  PRETA</t>
  </si>
  <si>
    <t>4202.99.00</t>
  </si>
  <si>
    <t>4802.55.99</t>
  </si>
  <si>
    <t>FUNDO INFINITO 2,70 X 11MTS BRANCO</t>
  </si>
  <si>
    <t>4802.56.92</t>
  </si>
  <si>
    <t>PAPEL A4</t>
  </si>
  <si>
    <t>PAPEL FILICOAT 210 X 297 180G FILIPAPER</t>
  </si>
  <si>
    <t>4808.10.00</t>
  </si>
  <si>
    <t>CAIXA DE PAPELÃO 60X40X40</t>
  </si>
  <si>
    <t>4819.10.00</t>
  </si>
  <si>
    <t>CAIXA DE PAPELÃO N11 18 X 11 X 6</t>
  </si>
  <si>
    <t>4821.10.00</t>
  </si>
  <si>
    <t>ETIQUETA ADESIVA PARA CODIFICAÇÃO 19MM</t>
  </si>
  <si>
    <t>4911.10.10</t>
  </si>
  <si>
    <t>APPLECARE + 1 ANO SVCS PARA IPAD</t>
  </si>
  <si>
    <t>4911.99.00</t>
  </si>
  <si>
    <t>MICROSOFT OFFICE PROFESSIONAL PLUS 2021ESD BR</t>
  </si>
  <si>
    <t>5603.92.40</t>
  </si>
  <si>
    <t>PANO MULTI-USO 30X25 COM 50UND AZUL</t>
  </si>
  <si>
    <t>5806.32.00</t>
  </si>
  <si>
    <t>ABRAÇADEIRA EM VELCRO  ROLO 3MTS PRETO</t>
  </si>
  <si>
    <t>5807.10.00</t>
  </si>
  <si>
    <t>PAINEL REFLETOR 5X1 COM BOLSA WV-51110/DI</t>
  </si>
  <si>
    <t>6302.91.00</t>
  </si>
  <si>
    <t>PANO DE CHÃO ALVEJADO BRANCO</t>
  </si>
  <si>
    <t>6307.10.00</t>
  </si>
  <si>
    <t>PANO MICROFIBRA COM 2 UND</t>
  </si>
  <si>
    <t>6601.10.00</t>
  </si>
  <si>
    <t>OMBRELONE CAUCAIA</t>
  </si>
  <si>
    <t>6603.90.00</t>
  </si>
  <si>
    <t>6909.12.20</t>
  </si>
  <si>
    <t>Exclusivamente guia de agulhas de cerâmica para cabeçotes de impressão</t>
  </si>
  <si>
    <t>6909.19.20</t>
  </si>
  <si>
    <t>7020.00.90</t>
  </si>
  <si>
    <t>7321.11.00</t>
  </si>
  <si>
    <t>Fogões de cozinha de uso doméstico e suas partes</t>
  </si>
  <si>
    <t>7321.81.00</t>
  </si>
  <si>
    <t>7323.94.00</t>
  </si>
  <si>
    <t>SUPORTE MAGNÉTICO PARA IPAD HAGIBIS</t>
  </si>
  <si>
    <t>7326.90.90</t>
  </si>
  <si>
    <t>SUPORTE  ARTICULADO ANTIFURTO PARA TABLET / IPAD 7.9 -10.5"</t>
  </si>
  <si>
    <t>7616.99.00</t>
  </si>
  <si>
    <t>SUPORTE DE MESA PARA MONITOR MULTIARTICULADO COM PISTÃO A GÁS DE 17-35" ELG</t>
  </si>
  <si>
    <t>8001.10.00</t>
  </si>
  <si>
    <t>DOCK STATION 2.5/3,5" USB 3.0 KNUP</t>
  </si>
  <si>
    <t>8001.20.00</t>
  </si>
  <si>
    <t>MONITOR PORTATIL ULTRA SLLIN TOMATE</t>
  </si>
  <si>
    <t>8203.20.10</t>
  </si>
  <si>
    <t>Alicate de Crimpar RJ11 / RJ45</t>
  </si>
  <si>
    <t>8205.51.00</t>
  </si>
  <si>
    <t>KIT FERRAMENTAS PARA NOTEBOOK E CELULAR 23 PÇ</t>
  </si>
  <si>
    <t>8206.00.00</t>
  </si>
  <si>
    <t>KIT DE CHAVES DE PRECISÃO</t>
  </si>
  <si>
    <t>8207.90.00</t>
  </si>
  <si>
    <t>MALETA DE BROCAS / PONTEIRAS 100 PÇS BOSCH</t>
  </si>
  <si>
    <t>8301.10.00</t>
  </si>
  <si>
    <t>CABO DE SEGURANÇA PARA NOTE COM CHAVE CS-30 C3T</t>
  </si>
  <si>
    <t>8302.50.00</t>
  </si>
  <si>
    <t>SUPORTE PARA NOTEBOOK ERGONOMICO G4 PRETO MUTABIS</t>
  </si>
  <si>
    <t>8304.00.00</t>
  </si>
  <si>
    <t>APLICADOR DE FITA LACRE</t>
  </si>
  <si>
    <t>8409.91.40</t>
  </si>
  <si>
    <t>Injeção eletrônica</t>
  </si>
  <si>
    <t>8414.59.90</t>
  </si>
  <si>
    <t>Suporte p/ Notebook com USB e Ventilador</t>
  </si>
  <si>
    <t>8415.10.11</t>
  </si>
  <si>
    <t>Ar Condicionado</t>
  </si>
  <si>
    <t>8415.90.10</t>
  </si>
  <si>
    <t>UNIDADE EVAPORADORA SPLIT CASSETE INVERTER 3200BTUS QUENTE/FRIO 220V FUJITSU</t>
  </si>
  <si>
    <t>8415.90.20</t>
  </si>
  <si>
    <t>UNIDADE CONDENSADORA SPLIT CASSETE INVERTER 3200BTUS QUENTE/FRIO 220V FUJITSU</t>
  </si>
  <si>
    <t>8415.90.90</t>
  </si>
  <si>
    <t>PAINEL SPLIT CASSETE INVERTER 3200BTUS QUENTE/FRIO 220V FUJITSU</t>
  </si>
  <si>
    <t>8418.10.00</t>
  </si>
  <si>
    <t>Combinações de refrigeradores e congeladores ("freezers"), munidos de portas exteriores separadas</t>
  </si>
  <si>
    <t>8418.21.00</t>
  </si>
  <si>
    <t>FRIGOBAR 76L 127V BRANCO PHILCO</t>
  </si>
  <si>
    <t>8418.29.00</t>
  </si>
  <si>
    <t>Outros refrigeradores do tipo doméstico</t>
  </si>
  <si>
    <t>8418.30.00</t>
  </si>
  <si>
    <t>Congeladores ("freezers") horizontais tipo arca, de capacidade não superior a 800 litros</t>
  </si>
  <si>
    <t>8418.40.00</t>
  </si>
  <si>
    <t>Congeladores ("freezers") verticais tipo armário, de capacidade não superior a 900 litros</t>
  </si>
  <si>
    <t>8418.50</t>
  </si>
  <si>
    <t>Outros móveis (arcas, armários, vitrines, balcões e móveis semelhantes) para a conservação e exposição de produtos, que incorporem um equipamento para a produção de</t>
  </si>
  <si>
    <t>8418.69.31</t>
  </si>
  <si>
    <t>Bebedouros refrigerados para água</t>
  </si>
  <si>
    <t>8418.69.90</t>
  </si>
  <si>
    <t>Mini adega e similares</t>
  </si>
  <si>
    <t>8418.69.99</t>
  </si>
  <si>
    <t>Máquinas para produção de gelo</t>
  </si>
  <si>
    <t>8418.99.00</t>
  </si>
  <si>
    <t>Partes dos refrigeradores, congeladores, mini adegas e similares, máquinas para produção de gelo e bebedouros descritos nos itens 20.2, 20.3, 20.4, 20.5, 20.6, 20.7, 20.8, 20.9 e 20.13.</t>
  </si>
  <si>
    <t>8419.89.19</t>
  </si>
  <si>
    <t>CAFETEIRA INDUSTRIAL 10LTS / 220v</t>
  </si>
  <si>
    <t>8420.10.10</t>
  </si>
  <si>
    <t>PLASTIFICADORA A3 VISION G15 APP-TECH</t>
  </si>
  <si>
    <t>8420.10.90</t>
  </si>
  <si>
    <t>PLASTIFICADORA A3/A4 E A5  LM3233H AURORA</t>
  </si>
  <si>
    <t>8421.12</t>
  </si>
  <si>
    <t>Secadoras de roupa de uso doméstico</t>
  </si>
  <si>
    <t>8421.19.90</t>
  </si>
  <si>
    <t>Outras secadoras de roupas e centrífugas de uso doméstico</t>
  </si>
  <si>
    <t>8421.9</t>
  </si>
  <si>
    <t>Partes das secadoras de roupas e centrífugas de uso doméstico e dos aparelhos para filtrar ou depurar água, descritos nos itens 20.11 e 20.12 e 20.92</t>
  </si>
  <si>
    <t>8422.11.00</t>
  </si>
  <si>
    <t>Máquinas de lavar louça do tipo doméstico e suas partes</t>
  </si>
  <si>
    <t>8422.90.10</t>
  </si>
  <si>
    <t>8423.81.10</t>
  </si>
  <si>
    <t>Balança Eletrônica Digital</t>
  </si>
  <si>
    <t>8423.81.90</t>
  </si>
  <si>
    <t>Outros aparelhos e instrumentos de pesagem: | De capacidade não superior a 30 kg</t>
  </si>
  <si>
    <t>8423.82.00</t>
  </si>
  <si>
    <t>8423.90.10</t>
  </si>
  <si>
    <t>Impressor Matricial</t>
  </si>
  <si>
    <t>8423.90.21</t>
  </si>
  <si>
    <t>Impressor Técnico de Código de Barras</t>
  </si>
  <si>
    <t>8423.90.29</t>
  </si>
  <si>
    <t>CAFETEIRA INDUSTRIAL  8 LITROS/ 220V</t>
  </si>
  <si>
    <t>Módulo Dosador</t>
  </si>
  <si>
    <t>8441.80.00</t>
  </si>
  <si>
    <t>PERFURADORA PARA ENCADERNAÇÃO A4 SPIRAMATIC LASSANE</t>
  </si>
  <si>
    <t>8443.31.11</t>
  </si>
  <si>
    <t>Impressoras</t>
  </si>
  <si>
    <t>8443.31.14</t>
  </si>
  <si>
    <t>8443.32.33</t>
  </si>
  <si>
    <t>8443.32.99</t>
  </si>
  <si>
    <t>8443.99.23</t>
  </si>
  <si>
    <t>Cartuchos/ Toner</t>
  </si>
  <si>
    <t>8443.99.33</t>
  </si>
  <si>
    <t>8443.99.50</t>
  </si>
  <si>
    <t>IMPRESSORA INSTAX MINI LINK 2 CLAY WHITE NINTENDO</t>
  </si>
  <si>
    <t>8450.11.00</t>
  </si>
  <si>
    <t>Máquinas de lavar roupa, mesmo com dispositivos de secagem, de uso doméstico, de capacidade não superior a 10 kg, em peso de roupa seca, inteiramente automáticas</t>
  </si>
  <si>
    <t>8450.12.00</t>
  </si>
  <si>
    <t>Outras máquinas de lavar roupa, mesmo com dispositivos de secagem, de uso doméstico, com secador centrífugo incorporado</t>
  </si>
  <si>
    <t>8450.19.00</t>
  </si>
  <si>
    <t>Outras máquinas de lavar roupa, mesmo com dispositivos de secagem, de uso doméstico</t>
  </si>
  <si>
    <t>8450.20</t>
  </si>
  <si>
    <t>Máquinas de lavar roupa, mesmo com dispositivos de secagem, de uso doméstico, de capacidade superior a 10 kg, em peso de roupa seca</t>
  </si>
  <si>
    <t>8450.90</t>
  </si>
  <si>
    <t>Partes de máquinas de lavar roupa, mesmo com dispositivos de secagem, de uso doméstico</t>
  </si>
  <si>
    <t>8451.21.00</t>
  </si>
  <si>
    <t>Máquinas de secar de uso doméstico de capacidade não superior a 10 kg, em peso de roupa seca</t>
  </si>
  <si>
    <t>8451.29.90</t>
  </si>
  <si>
    <t>Outras máquinas de secar de uso doméstico</t>
  </si>
  <si>
    <t>8451.90</t>
  </si>
  <si>
    <t>Partes de máquinas de secar de uso doméstico</t>
  </si>
  <si>
    <t>8452.10.00</t>
  </si>
  <si>
    <t>Máquinas de costura de uso doméstico</t>
  </si>
  <si>
    <t>8470.50.10</t>
  </si>
  <si>
    <t>Caixas registradoras eletrônicas</t>
  </si>
  <si>
    <t>8470.90.90</t>
  </si>
  <si>
    <t>Exclusivamente terminal de ponto de venda /terminal financeiro</t>
  </si>
  <si>
    <t>8471.30.12</t>
  </si>
  <si>
    <t>Tablet</t>
  </si>
  <si>
    <t>8471.30.19</t>
  </si>
  <si>
    <t>Notebook</t>
  </si>
  <si>
    <t>NOTEBOOK I7 15.6" GALAXY BOOK2 PRO SAMSUNG</t>
  </si>
  <si>
    <t>8471.41.00</t>
  </si>
  <si>
    <t>Máquinas automáticas digitais para processamento de dados, contendo, no mesmo corpo, pelo menos uma unidade central de processamento e, mesmo combinadas, uma unidade de entrada e uma unidade de saída</t>
  </si>
  <si>
    <t>8471.50.10</t>
  </si>
  <si>
    <t>Computador</t>
  </si>
  <si>
    <t>8471.50.20</t>
  </si>
  <si>
    <t>Unidades digitais de processamento, mesmo apresentadas com o restante de um sistema e podendo conter, no mesmo corpo, um ou dois dos tipos de unidades seguintes: de memória, de entrada e de saída com elemento aritméticos e lógicos baseados em microprocessadores</t>
  </si>
  <si>
    <t>8471.50.30</t>
  </si>
  <si>
    <t>8471.60.52</t>
  </si>
  <si>
    <t>Teclado</t>
  </si>
  <si>
    <t>8471.60.53</t>
  </si>
  <si>
    <t>Mouse</t>
  </si>
  <si>
    <t>8471.60.54</t>
  </si>
  <si>
    <t>Mesa digitalizadora</t>
  </si>
  <si>
    <t>8471.60.59</t>
  </si>
  <si>
    <t>Kit tecl e mouse</t>
  </si>
  <si>
    <t>8471.60.61</t>
  </si>
  <si>
    <t>Unidades de entrada ou de saída com unidade de saída por vídeo monocromático</t>
  </si>
  <si>
    <t>8471.60.62</t>
  </si>
  <si>
    <t>Unidades de entrada ou de saída com unidade de saída por vídeo policromático</t>
  </si>
  <si>
    <t>8471.60.80</t>
  </si>
  <si>
    <t>Exclusivamente terminais de Auto Atendimento Bancário</t>
  </si>
  <si>
    <t>8471.60.90</t>
  </si>
  <si>
    <t>LEITOR DE CODIGO DE BARRAS 1D LB-W200BK C3TECH</t>
  </si>
  <si>
    <t>8471.70.10</t>
  </si>
  <si>
    <t>HD</t>
  </si>
  <si>
    <t>8471.70.20</t>
  </si>
  <si>
    <t>Gravador DVD</t>
  </si>
  <si>
    <t>8471.70.90</t>
  </si>
  <si>
    <t>Outras Unidades de Memória</t>
  </si>
  <si>
    <t>8471.80.00</t>
  </si>
  <si>
    <t>AUTENTICADOR FISCAL - MFE TM-1000 TANCA</t>
  </si>
  <si>
    <t>8471.90.11</t>
  </si>
  <si>
    <t>Leitoras ou Perfuradoras de Cartões</t>
  </si>
  <si>
    <t>8471.90.12</t>
  </si>
  <si>
    <t>Leitor de cod.barras</t>
  </si>
  <si>
    <t>8471.90.13</t>
  </si>
  <si>
    <t>Leitora e/ou marcadora de caracteres (CMC-7)</t>
  </si>
  <si>
    <t>8471.90.14</t>
  </si>
  <si>
    <t>Scanner</t>
  </si>
  <si>
    <t>8471.90.19</t>
  </si>
  <si>
    <t>Leitor de Cartão</t>
  </si>
  <si>
    <t>8471.90.90</t>
  </si>
  <si>
    <t>HD IRONWOLF NAS 8TB  SEAGATE</t>
  </si>
  <si>
    <t>8472.90.10</t>
  </si>
  <si>
    <t>Exclusivamente distribuidores (dispensadores) automáticos de papel-moeda, incluídos os que efetuam outras operações</t>
  </si>
  <si>
    <t>8472.90.30</t>
  </si>
  <si>
    <t>Máquinas de classificar e contar moedas metálicas</t>
  </si>
  <si>
    <t>8472.90.51</t>
  </si>
  <si>
    <t>Exclusivamente classificadoras automáticas de documentos com leitores ou gravadores do item 8471.90.1 incorporados, com capacidade de classificação superior a 400 documentos por minuto</t>
  </si>
  <si>
    <t>8472.90.59</t>
  </si>
  <si>
    <t>Exclusivamente classificadoras automáticas de documentos com leitores ou gravadores do item 8471.90.1 incorporados, com capacidade de classificação igual ou inferior a 400 documentos por minuto</t>
  </si>
  <si>
    <t>8472.90.99</t>
  </si>
  <si>
    <t>ROTULADOR ELETRONICO PT-M95  BROTHER</t>
  </si>
  <si>
    <t>8473.29.10</t>
  </si>
  <si>
    <t>Exclusivamente partes e acessórios das Caixas Registradoras Elétricas</t>
  </si>
  <si>
    <t>8473.29.90</t>
  </si>
  <si>
    <t>8473.30.11</t>
  </si>
  <si>
    <t>Gabinete</t>
  </si>
  <si>
    <t>GABINETE MT-32BK C3TECH</t>
  </si>
  <si>
    <t>8473.30.19</t>
  </si>
  <si>
    <t>8473.30.31</t>
  </si>
  <si>
    <t>Exclusivamente conjunto HDA montado com capacidade superior a 1.200 MB</t>
  </si>
  <si>
    <t>8473.30.32</t>
  </si>
  <si>
    <t>Posicionador de Cabeças Magnéticas</t>
  </si>
  <si>
    <t>8473.30.33</t>
  </si>
  <si>
    <t>Cabeça de Leitura e/ou Gravação Magnética</t>
  </si>
  <si>
    <t>8473.30.34</t>
  </si>
  <si>
    <t>Transportador (driver) de fita magnética</t>
  </si>
  <si>
    <t>8473.30.39</t>
  </si>
  <si>
    <t>CASE EXTERNA PARA SSD</t>
  </si>
  <si>
    <t>8473.30.41</t>
  </si>
  <si>
    <t>Placa Mãe</t>
  </si>
  <si>
    <t>8473.30.42</t>
  </si>
  <si>
    <t>Memoria</t>
  </si>
  <si>
    <t>8473.30.49</t>
  </si>
  <si>
    <t>PLACA PCI EXPRESS COM 2 SAIDAS SERIAIS</t>
  </si>
  <si>
    <t>8473.30.90</t>
  </si>
  <si>
    <t>SSD</t>
  </si>
  <si>
    <t>8473.40.70</t>
  </si>
  <si>
    <t>Mecanismo Disparador de Cédulas/Documentos</t>
  </si>
  <si>
    <t>8473.50.90</t>
  </si>
  <si>
    <t>CANETA TOUCH SCREEN PARA TABLET</t>
  </si>
  <si>
    <t>8479.89.99</t>
  </si>
  <si>
    <t>APLICADOR DE TAG</t>
  </si>
  <si>
    <t>8482.40.00</t>
  </si>
  <si>
    <t>Exclusivamente Micro Rolamentos de Agulhas com sentido único de Rotação</t>
  </si>
  <si>
    <t>8501.10.11</t>
  </si>
  <si>
    <t>Motor de passo com posicionamento angular menor ou igual a 1,8 graus</t>
  </si>
  <si>
    <t>8501.10.19</t>
  </si>
  <si>
    <t>Motor de Corrente</t>
  </si>
  <si>
    <t>8501.31.10</t>
  </si>
  <si>
    <t>Exclusivamente Motor de Passo tipo Híbrido com 2 ou 4 faces de Acionamento com Ângulo de Passo menor ou igual a 1,8 graus</t>
  </si>
  <si>
    <t>8501.31.20</t>
  </si>
  <si>
    <t>Exclusivamente Gerador de Corrente Contínua com Controle Fino para Análise Volumétrica de Substâncias Químicas por Reações Eletrolíticas</t>
  </si>
  <si>
    <t>8504.3 Demais NCM's do grupo</t>
  </si>
  <si>
    <t>Autotransformador</t>
  </si>
  <si>
    <t>8504.31.19</t>
  </si>
  <si>
    <t>8504.31.91</t>
  </si>
  <si>
    <t>8504.31.99</t>
  </si>
  <si>
    <t>8504.32.11</t>
  </si>
  <si>
    <t>8504.40.10</t>
  </si>
  <si>
    <t>Carregadores de acumuladores</t>
  </si>
  <si>
    <t>8504.40.21</t>
  </si>
  <si>
    <t>Fonte Note/desk</t>
  </si>
  <si>
    <t>CARREGADOR PARA CELULAR / TABLET EP-TA50BW SAMSUNG</t>
  </si>
  <si>
    <t>8504.40.21-C</t>
  </si>
  <si>
    <t>8504.40.29</t>
  </si>
  <si>
    <t>PN:PWR-BGA12V50W0WW-FONTE LEVEL VI AC/DC BRICK .   PWR</t>
  </si>
  <si>
    <t>8504.40.40</t>
  </si>
  <si>
    <t>Nobreak</t>
  </si>
  <si>
    <t>8504.40.90</t>
  </si>
  <si>
    <t>Fonte CFTV</t>
  </si>
  <si>
    <t>FONTE DE ALIMENTAÇÃO 24V  BIV PLUG P4</t>
  </si>
  <si>
    <t>8506.10.19</t>
  </si>
  <si>
    <t>BATERIA LR44/A76 COM 4 UND DURACEL</t>
  </si>
  <si>
    <t>8506.10.31</t>
  </si>
  <si>
    <t>BATERIA 9V DURACEL</t>
  </si>
  <si>
    <t>8506.50.10</t>
  </si>
  <si>
    <t>BATERIA CR2032 INTELBRAS</t>
  </si>
  <si>
    <t>8507.20.10</t>
  </si>
  <si>
    <t>BATERIA 12V/ 100AH UNIPOWER</t>
  </si>
  <si>
    <t>8507.50.10</t>
  </si>
  <si>
    <t>PACK DE PILHAS RECARREGÁVEL 2UN AA  DURACELL</t>
  </si>
  <si>
    <t>8507.50.20</t>
  </si>
  <si>
    <t>PACK DE PILHAS RECARREGÁVEL 2UN AAA  DURACELL</t>
  </si>
  <si>
    <t>8507.60.00</t>
  </si>
  <si>
    <t>BAT NOT DELL LATITUDE 5520 RJ4 Nr Serie: 2278345 /</t>
  </si>
  <si>
    <t>8507.80.00</t>
  </si>
  <si>
    <t>Bateria</t>
  </si>
  <si>
    <t>8508.11.00</t>
  </si>
  <si>
    <t>ASPIRADOR E JATEADOR DE AR 110V MASTERSUX</t>
  </si>
  <si>
    <t>8514.20.20</t>
  </si>
  <si>
    <t>MICRO-ONDAS  22LT 220V INOX PANASONIC</t>
  </si>
  <si>
    <t>8517.11.00</t>
  </si>
  <si>
    <t>Telefone S/ Fio</t>
  </si>
  <si>
    <t>8517.12</t>
  </si>
  <si>
    <t>Outros telefones para outras redes sem fio, exceto para redes de celulares e os de uso automotivo</t>
  </si>
  <si>
    <t>8517.12.31</t>
  </si>
  <si>
    <t>Telefones para redes celulares, exceto por satélite, os de uso automotivo e os classificados no CEST 21.053.01</t>
  </si>
  <si>
    <t>8517.13.00</t>
  </si>
  <si>
    <t>Celular</t>
  </si>
  <si>
    <t>8517.18.30</t>
  </si>
  <si>
    <t>Telefone</t>
  </si>
  <si>
    <t>8517.62.1</t>
  </si>
  <si>
    <t>Multiplexadores e concentradores</t>
  </si>
  <si>
    <t>8517.62.22</t>
  </si>
  <si>
    <t>Centrais automáticas privadas, de capacidade inferior ou igual a 25 ramais</t>
  </si>
  <si>
    <t>8517.62.39</t>
  </si>
  <si>
    <t>Switch</t>
  </si>
  <si>
    <t>8517.62.41</t>
  </si>
  <si>
    <t>Roteador</t>
  </si>
  <si>
    <t>8517.62.49</t>
  </si>
  <si>
    <t>8517.62.54</t>
  </si>
  <si>
    <t>Mini Hub</t>
  </si>
  <si>
    <t>8517.62.59</t>
  </si>
  <si>
    <t>Outros aparelhos para transmissão ou recepção de voz, imagem ou outros dados em rede com fio.</t>
  </si>
  <si>
    <t>8517.62.62</t>
  </si>
  <si>
    <t>OCULOS REALIDADE VIRTUAL QUEST 3</t>
  </si>
  <si>
    <t>8517.62.94</t>
  </si>
  <si>
    <t>Conversor de Midia</t>
  </si>
  <si>
    <t>8517.62.99</t>
  </si>
  <si>
    <t>CABO CONVERSOR VGA+R/L X HDMI</t>
  </si>
  <si>
    <t>8517.69.00</t>
  </si>
  <si>
    <t>Adaptador USB p/ Headset</t>
  </si>
  <si>
    <t>8517.79.00</t>
  </si>
  <si>
    <t>Cisco</t>
  </si>
  <si>
    <t>8518.10.10</t>
  </si>
  <si>
    <t>SUPORTE DE CHÃO PARA PROJETOR E LAPTOP TRIPÉ AJUSTAVEL</t>
  </si>
  <si>
    <t>8518.10.90</t>
  </si>
  <si>
    <t>Microfones</t>
  </si>
  <si>
    <t>MICROFONE DE MESA USB PARA CONFERÊNCIA USB BXXQ52374 CM-001 CMTECK</t>
  </si>
  <si>
    <t>8518.21.00</t>
  </si>
  <si>
    <t>Caixa de Som</t>
  </si>
  <si>
    <t>8518.30.00</t>
  </si>
  <si>
    <t>Headset</t>
  </si>
  <si>
    <t>FONE DE OUVIDO BLUETOOTH W600BT EDIFIER</t>
  </si>
  <si>
    <t>8518.50.00</t>
  </si>
  <si>
    <t>CROSSOVER C-04  4 VIAS STEREO PROFISSIONAL</t>
  </si>
  <si>
    <t>8518.90.90</t>
  </si>
  <si>
    <t>ADAPTADOR CARONA PARA TREINAMENTO HEADSET</t>
  </si>
  <si>
    <t>8521.90.00</t>
  </si>
  <si>
    <t>GRAVADOR DIGITAL DE VIDEO IMHDX 3008 INTELBRAS</t>
  </si>
  <si>
    <t>8521.90.90</t>
  </si>
  <si>
    <t>Aparelho DVD</t>
  </si>
  <si>
    <t>8523.29.90</t>
  </si>
  <si>
    <t>FITA LTO</t>
  </si>
  <si>
    <t>8523.41.10</t>
  </si>
  <si>
    <t>MIDIA DVD-R</t>
  </si>
  <si>
    <t>8523.49.20</t>
  </si>
  <si>
    <t>LICENÇA OFFICE MICROSOFT</t>
  </si>
  <si>
    <t>8523.49.90</t>
  </si>
  <si>
    <t>JOGO PARA PS5 FI 23</t>
  </si>
  <si>
    <t>8523.51.10</t>
  </si>
  <si>
    <t>Cartão Memoria</t>
  </si>
  <si>
    <t>8523.51.90</t>
  </si>
  <si>
    <t>PEN DRIVE  2.0 64GB CRUZER BLADE SDCZ50-064G-B35 SANDISK</t>
  </si>
  <si>
    <t>8523.52.00</t>
  </si>
  <si>
    <t>Cartões inteligentes ("smart cards")</t>
  </si>
  <si>
    <t>8523.52.10</t>
  </si>
  <si>
    <t>CARTÃO ACIONADO POR APROXIMAÇÃO TH2000</t>
  </si>
  <si>
    <t>8524.11.00</t>
  </si>
  <si>
    <t>TELA LCD PARA NOTEBOOK 14.0 1920X1080 30P NARROW</t>
  </si>
  <si>
    <t>8525.50.29</t>
  </si>
  <si>
    <t>GOOGLE CHROMECAST TV GAO3131-US</t>
  </si>
  <si>
    <t>8525.60.90</t>
  </si>
  <si>
    <t>APPLE TV 4K 128GB MN893BZ/A</t>
  </si>
  <si>
    <t>8525.80.2</t>
  </si>
  <si>
    <t>Câmeras fotográficas digitais e câmeras de vídeo e suas partes</t>
  </si>
  <si>
    <t>8525.81.00</t>
  </si>
  <si>
    <t>Camera Digital</t>
  </si>
  <si>
    <t>8525.89.13</t>
  </si>
  <si>
    <t>CÂMERA DE MONITORAMENTO BULLET  VIP 1230B  INTELBRAS</t>
  </si>
  <si>
    <t>8525.89.19</t>
  </si>
  <si>
    <t>VIDEO CONFERENCIA USB CAM-1080P INTELBRAS</t>
  </si>
  <si>
    <t>8525.89.29</t>
  </si>
  <si>
    <t>Caixa de Som Bose Modelo FS2C / Câmera</t>
  </si>
  <si>
    <t>8526.92.00</t>
  </si>
  <si>
    <t>CONTROLE REMOTO</t>
  </si>
  <si>
    <t>8527.9</t>
  </si>
  <si>
    <t>Outros aparelhos receptores para radiodifusão, mesmo combinados num invólucro, com um aparelho de gravação ou de reprodução de som, ou com um relógio, inclusive caixa acústica para Home Theaters classificados na posição 8518</t>
  </si>
  <si>
    <t>8528.49.29</t>
  </si>
  <si>
    <t>Monitores e projetores que não incorporem aparelhos receptores de televisão, policromáticos</t>
  </si>
  <si>
    <t>8528.52.00</t>
  </si>
  <si>
    <t>Monitor</t>
  </si>
  <si>
    <t>8528.59.00</t>
  </si>
  <si>
    <t>CONTROLE TOUCH TAP VC SCHEDULER  LOGITECH</t>
  </si>
  <si>
    <t>8528.59.20</t>
  </si>
  <si>
    <t>8528.69</t>
  </si>
  <si>
    <t>8528.69.10</t>
  </si>
  <si>
    <t>Projetor</t>
  </si>
  <si>
    <t>8528.72.00</t>
  </si>
  <si>
    <t>TV LCD/Plasma/outros</t>
  </si>
  <si>
    <t>8529.10.20</t>
  </si>
  <si>
    <t>ALICATE DE CRIMPAR MULTI FUNÇÃO PARA CONECTORES DE PASSAGEM EZ TOOLS</t>
  </si>
  <si>
    <t>8529.90.19</t>
  </si>
  <si>
    <t>Receptor de Sinal de Televisão Via Satélite com ou sem Controle Remoto</t>
  </si>
  <si>
    <t>8530.10.10</t>
  </si>
  <si>
    <t>Exclusivamente controlador digital automático de trens (ATC)</t>
  </si>
  <si>
    <t>8530.10.90</t>
  </si>
  <si>
    <t>Aparelhos para vias férreas ou semelhantes</t>
  </si>
  <si>
    <t>8530.80.10</t>
  </si>
  <si>
    <t>Exclusivamente Controlador Digital para Controle de Tráfego Rodoviário</t>
  </si>
  <si>
    <t>8532.21.90</t>
  </si>
  <si>
    <t>Outros Condensadores Fixos de Tântalo</t>
  </si>
  <si>
    <t>8532.22.00</t>
  </si>
  <si>
    <t>Condensadores Fixos Eletrolíticos de Alumínio</t>
  </si>
  <si>
    <t>8532.23.10</t>
  </si>
  <si>
    <t>Condensador com Dielétricos de Cerâmica de uma só camada</t>
  </si>
  <si>
    <t>8532.23.90</t>
  </si>
  <si>
    <t>Outros condensadores fixos | Com dielétrico de cerâmica, de uma só camada</t>
  </si>
  <si>
    <t>8532.24.10</t>
  </si>
  <si>
    <t>Próprios para montagem em superfície (SMD - Surface Mounted Device)</t>
  </si>
  <si>
    <t>8532.24.20</t>
  </si>
  <si>
    <t>Próprios para montagem por inserção (PTH - Pin Through Hole)</t>
  </si>
  <si>
    <t>8532.24.90</t>
  </si>
  <si>
    <t>Outros condensadores fixos | Com dielétrico de cerâmica, de camadas múltiplas</t>
  </si>
  <si>
    <t>8532.25.10</t>
  </si>
  <si>
    <t>Condensador com Dielétrico de Papel ou de Plástico Próprios para montagem em superfície (SMD - Surface Mounted Device)</t>
  </si>
  <si>
    <t>8532.25.90</t>
  </si>
  <si>
    <t>Condensador com Dielétrico de Papel ou de Plástico Outros condensadores fixos | Com dielétrico de papel ou de plástico</t>
  </si>
  <si>
    <t>8532.29.10</t>
  </si>
  <si>
    <t>Condensador com Dielétrico de Mica</t>
  </si>
  <si>
    <t>8532.29.90</t>
  </si>
  <si>
    <t>Outros Condensadores Fixos</t>
  </si>
  <si>
    <t>8532.30.10</t>
  </si>
  <si>
    <t>Condensadores Variáveis ou Ajustáveis - Próprios para montagem em superfície (SMD - Surface Mounted Device)</t>
  </si>
  <si>
    <t>8532.30.90</t>
  </si>
  <si>
    <t>Condensadores Variáveis ou Ajustáveis - Outros</t>
  </si>
  <si>
    <t>8533.40.91</t>
  </si>
  <si>
    <t>Potenciômetros de Carvão</t>
  </si>
  <si>
    <t>8535.30.19</t>
  </si>
  <si>
    <t>TOMADA PADRÃO REINO UNIDO PLUG MACHO</t>
  </si>
  <si>
    <t>8536.30.90</t>
  </si>
  <si>
    <t>Filtro de linha</t>
  </si>
  <si>
    <t>8536.41.00</t>
  </si>
  <si>
    <t>RELE FOTOELETRONICO</t>
  </si>
  <si>
    <t>8536.49.00</t>
  </si>
  <si>
    <t>Exclusivamente Relé Digital para Energia Elétrica</t>
  </si>
  <si>
    <t>8536.50.90</t>
  </si>
  <si>
    <t>Conversor AV para HDMI</t>
  </si>
  <si>
    <t>8536.69.90</t>
  </si>
  <si>
    <t>ADAPTADOR DE TOMADA</t>
  </si>
  <si>
    <t>8536.90.10</t>
  </si>
  <si>
    <t>ADAPTADOR DB9 NULL MODEN</t>
  </si>
  <si>
    <t>8536.90.30</t>
  </si>
  <si>
    <t>Suporte (Soquete) para Microestrutura Eletrônica</t>
  </si>
  <si>
    <t>8536.90.40</t>
  </si>
  <si>
    <t>Conector para Placa de Circuito Impresso</t>
  </si>
  <si>
    <t>8536.90.90</t>
  </si>
  <si>
    <t>ADAPTADOR  SERIAL RS232 X RS485</t>
  </si>
  <si>
    <t>8536.xx</t>
  </si>
  <si>
    <t>Adaptadores/conectores</t>
  </si>
  <si>
    <t>8537.10.11</t>
  </si>
  <si>
    <t>Exclusivamente Comando Numérico Computadorizado (CNC) para tensão não superior a 1.000 V</t>
  </si>
  <si>
    <t>8537.10.19</t>
  </si>
  <si>
    <t>Para uma tensão não superior a 1.000 V - Outros</t>
  </si>
  <si>
    <t>8537.10.90</t>
  </si>
  <si>
    <t>Exclusivamente Quadros, Painéis, Consoles de Instrumentos para Automação de Processos Industriais</t>
  </si>
  <si>
    <t>8539.10.90</t>
  </si>
  <si>
    <t>LAMPADA PARA PROJETOR PRO Z8050 EPSON</t>
  </si>
  <si>
    <t>8540.11.00</t>
  </si>
  <si>
    <t>Exclusivamente Tubos de Raios Catódicos a Cores, com Passo (Dot Pitch) menor ou igual a 0,45mm, para Monitor de Vídeo</t>
  </si>
  <si>
    <t>8540.12.00</t>
  </si>
  <si>
    <t>Exclusivamente Tubos Catódicos Monocromáticos, de Alta Resolução, para Monitor de Vídeo</t>
  </si>
  <si>
    <t>8540.60.10</t>
  </si>
  <si>
    <t>Outros Tubos Catódicos - Tubos de visualização de dados gráficos, em cores, com uma tela de espaçamento entre os pontos igual ou superior a 0,4 mm</t>
  </si>
  <si>
    <t>8540.60.90</t>
  </si>
  <si>
    <t>Tubos de Raios Catódicos com passo Dot-Pitch inferior ou igual a 39mm</t>
  </si>
  <si>
    <t>8541.10.11</t>
  </si>
  <si>
    <t>Diodos, exceto fotodiodos e diodos emissores de luz (LED) - ZENER</t>
  </si>
  <si>
    <t>8541.10.12</t>
  </si>
  <si>
    <t>Outros, de intensidade de corrente inferior ou igual a 3 A</t>
  </si>
  <si>
    <t>8541.10.19</t>
  </si>
  <si>
    <t>Diodos, exceto fotodiodos e diodos emissores de luz (LED)</t>
  </si>
  <si>
    <t>8541.10.22</t>
  </si>
  <si>
    <t>8541.10.29</t>
  </si>
  <si>
    <t>8541.10.31</t>
  </si>
  <si>
    <t>Outros Diodos, exceto Fotodiodos e Diodos Emissores de Luz</t>
  </si>
  <si>
    <t>8541.10.32</t>
  </si>
  <si>
    <t>8541.10.39</t>
  </si>
  <si>
    <t>Diodos, exceto fotodiodos e diodos emissores de luz (LED) - outros</t>
  </si>
  <si>
    <t>8541.10.91</t>
  </si>
  <si>
    <t>8541.10.92</t>
  </si>
  <si>
    <t>8541.10.99</t>
  </si>
  <si>
    <t>8541.29.10</t>
  </si>
  <si>
    <t>Outros Transistores, exceto Fototransistores</t>
  </si>
  <si>
    <t>8541.29.20</t>
  </si>
  <si>
    <t>CONTROLE REMOTO PARA SMART TV</t>
  </si>
  <si>
    <t>8541.60.10</t>
  </si>
  <si>
    <t>Cristais piezoelétricos montados</t>
  </si>
  <si>
    <t>8541.60.90</t>
  </si>
  <si>
    <t>Cristais piezelétricos montados - Outros</t>
  </si>
  <si>
    <t>8542.31.90</t>
  </si>
  <si>
    <t>CIRCUITO INTEGRADO ELETRONICO DE AMPLIFICADOR DE POTENCIA</t>
  </si>
  <si>
    <t>8543.20.00</t>
  </si>
  <si>
    <t>Geradores de sinais de baixa e alta freqüência (osciladores)</t>
  </si>
  <si>
    <t>8543.70.19</t>
  </si>
  <si>
    <t>AMPLIFICADOR  SLIM 1800 APP FRAHM</t>
  </si>
  <si>
    <t>8543.70.35</t>
  </si>
  <si>
    <t>MESA DE SOM DJ M2 MIXER 2 CANAIS NUMARK</t>
  </si>
  <si>
    <t>8543.70.39</t>
  </si>
  <si>
    <t>8543.70.40</t>
  </si>
  <si>
    <t>Chaveador KVM VGA 2 Portas com Cabo</t>
  </si>
  <si>
    <t>8543.70.99</t>
  </si>
  <si>
    <t>8544.20.00</t>
  </si>
  <si>
    <t>8544.42.00</t>
  </si>
  <si>
    <t>Cabos (de força)</t>
  </si>
  <si>
    <t>ADAPTADOR DE AUDIO USB X P2 3.5MM UGREEN</t>
  </si>
  <si>
    <t>8544.49.00</t>
  </si>
  <si>
    <t>Cabo audio 3 vias blindado 0.12mm preto MF3 Santo Angelo</t>
  </si>
  <si>
    <t>8549.11.00</t>
  </si>
  <si>
    <t>BATERIA 14250 3,6V 1200MAH LITHIUM</t>
  </si>
  <si>
    <t>8806.22.00</t>
  </si>
  <si>
    <t>DRONE MINI 3 PRO FLY MORE KIT PLUS DJI</t>
  </si>
  <si>
    <t>8806.22.00.01</t>
  </si>
  <si>
    <t>DRONE MINI 2 SE FLY MORE DJI</t>
  </si>
  <si>
    <t>9001.90.90</t>
  </si>
  <si>
    <t>FILTRO DE PRIVACIDADE 22"</t>
  </si>
  <si>
    <t>9002.11.11</t>
  </si>
  <si>
    <t>LENTE PARA CÂMERA RF 24X105MM F4-7.1 IS STM CANON</t>
  </si>
  <si>
    <t>9002.20.90</t>
  </si>
  <si>
    <t>FILTRO UV HMC 52MM HOYA</t>
  </si>
  <si>
    <t>9006.40.00</t>
  </si>
  <si>
    <t>Câmeras fotográficas para filmes de revelação e copiagem instantâneas</t>
  </si>
  <si>
    <t>9006.59</t>
  </si>
  <si>
    <t>Câmeras fotográficas dos tipos utilizadas para preparação de clichês ou cilindros de impressão</t>
  </si>
  <si>
    <t>9006.69.00</t>
  </si>
  <si>
    <t>MINI ILUMINADOR LED MOLUS G60 COMBO ZHIYUN</t>
  </si>
  <si>
    <t>9006.91.90</t>
  </si>
  <si>
    <t>CAIXA ESTANQUE PARA GOPRO TELESIN</t>
  </si>
  <si>
    <t>9015.10.00</t>
  </si>
  <si>
    <t>MEDIDOR DE DISTÂNCIAS LASER GLM 50-12 BOSCH</t>
  </si>
  <si>
    <t>9018.90.50</t>
  </si>
  <si>
    <t>Aparelhos de diatermia</t>
  </si>
  <si>
    <t>9019.10.00</t>
  </si>
  <si>
    <t>Aparelhos de massagem</t>
  </si>
  <si>
    <t>9025.19.90</t>
  </si>
  <si>
    <t>Exclusivamente Indicadores Digitais de Temperatura de Painéis</t>
  </si>
  <si>
    <t>9025.80.00</t>
  </si>
  <si>
    <t>DATA LOGGER DE TEMPERATURA E UMIDADE TESTO 175 HI + CALIBRAÇÃO</t>
  </si>
  <si>
    <t>9025.90.10</t>
  </si>
  <si>
    <t>Exclusivamente Partes e Acessórios para Sensores de Temperatura</t>
  </si>
  <si>
    <t>9025.90.90</t>
  </si>
  <si>
    <t>Pirômetros, suas partes e acessórios</t>
  </si>
  <si>
    <t>9026.20.90</t>
  </si>
  <si>
    <t>Medidor digital de vazão</t>
  </si>
  <si>
    <t>9027.50.90</t>
  </si>
  <si>
    <t>DETECTOR DE FUMAÇA CONVENCIONAL UNIVERSAL DFC 421 UN INTELBRAS</t>
  </si>
  <si>
    <t>9028.30.11</t>
  </si>
  <si>
    <t>Exclusivamente Registrador/Medidor Digital de Energia Elétrica</t>
  </si>
  <si>
    <t>9030.40.90</t>
  </si>
  <si>
    <t>KIT TESTADOR E LOCALIZADOR DE CABOS</t>
  </si>
  <si>
    <t>9030.89.90</t>
  </si>
  <si>
    <t>KIT TESTADOR E ACESÓRIOS VONDER</t>
  </si>
  <si>
    <t>9032.89.11</t>
  </si>
  <si>
    <t>Estabilizador</t>
  </si>
  <si>
    <t>9032.89.81</t>
  </si>
  <si>
    <t>Exclusivamente Transmissor Digital de Pressão</t>
  </si>
  <si>
    <t>9032.89.82</t>
  </si>
  <si>
    <t>Exclusivamente Transmissor Digital de Temperatura</t>
  </si>
  <si>
    <t>9032.89.89</t>
  </si>
  <si>
    <t>Exclusivamente Controlador de Tráfego</t>
  </si>
  <si>
    <t>9032.90.99</t>
  </si>
  <si>
    <t>Partes e Acessório de Aparelhos para Regulação e Controle do item 9032.89.8</t>
  </si>
  <si>
    <t>9113.10.00</t>
  </si>
  <si>
    <t>CAPA SMARTCASE PARA IPAD 10º GER 10.9" PRETA</t>
  </si>
  <si>
    <t>9113.90.00</t>
  </si>
  <si>
    <t>CAPAPARA CELULAR S25/S24 ANTI-IMPACTO PRETA</t>
  </si>
  <si>
    <t>9209.94.00</t>
  </si>
  <si>
    <t>PEDESTAL GIRAFA PARA MICROFONE  SMG10</t>
  </si>
  <si>
    <t>9401.79.00</t>
  </si>
  <si>
    <t>CADEIRA EASY WOOD</t>
  </si>
  <si>
    <t>9403.10.00</t>
  </si>
  <si>
    <t>MESA SUPORTE PARA NOTEBOOK LUXO ERGONOMICA VEXTABLE</t>
  </si>
  <si>
    <t>9403.20.90</t>
  </si>
  <si>
    <t>BANDEJA DESLIZANTE 1U X 400MM PRETO</t>
  </si>
  <si>
    <t>9403.30.00</t>
  </si>
  <si>
    <t>APOIO PARA OS PÉS 15KG MULTIVISÃO</t>
  </si>
  <si>
    <t>9403.70.00</t>
  </si>
  <si>
    <t>ESTRADO PVC 50X50</t>
  </si>
  <si>
    <t>9403.99.00</t>
  </si>
  <si>
    <t>BANDEJA FIXA 400MM</t>
  </si>
  <si>
    <t>9405.11.10</t>
  </si>
  <si>
    <t>KIT TECLADO E MOUSE SEM FIO LEY-171 BRANCO LEHMOX</t>
  </si>
  <si>
    <t>9405.29.00</t>
  </si>
  <si>
    <t>LUMINARIA</t>
  </si>
  <si>
    <t>9603.90.00</t>
  </si>
  <si>
    <t>ESCOVINHA PARA LIMPEZA EM AÇO INOXIDAVEL</t>
  </si>
  <si>
    <t>9608.20.00</t>
  </si>
  <si>
    <t>9610.00.00</t>
  </si>
  <si>
    <t>LOUSA DE VIDRO 2,20 X 1</t>
  </si>
  <si>
    <t>9612.10.00</t>
  </si>
  <si>
    <t>FITA PARA ROTULADOR 12MM X 9MM LK-4TBN PRETO/ TRANSPARENTE EPSON</t>
  </si>
  <si>
    <t>9617.00.10</t>
  </si>
  <si>
    <t>GARRAFA TERMICA 2,5LT INOX / PRETO</t>
  </si>
  <si>
    <t>9620.00.00</t>
  </si>
  <si>
    <t>SUPORTE PARA LEITOR DE COD DE BARRAS - BASE PARA FIXAÇÃO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</si>
</sst>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i/>
      <sz val="10"/>
      <color rgb="FF595959"/>
      <name val="Calibri"/>
    </font>
    <font>
      <b/>
      <sz val="10"/>
      <color rgb="FF1F3864"/>
      <name val="Calibri"/>
    </font>
    <font>
      <b/>
      <sz val="10"/>
      <color rgb="FFFFFFFF"/>
      <name val="Calibri"/>
    </font>
  </fonts>
  <fills count="10">
    <fill>
      <patternFill patternType="none"/>
    </fill>
    <fill>
      <patternFill patternType="gray125"/>
    </fill>
    <fill>
      <patternFill patternType="solid">
        <fgColor rgb="FF1F3864"/>
      </patternFill>
    </fill>
    <fill>
      <patternFill patternType="solid">
        <fgColor rgb="FFFFF2CC"/>
      </patternFill>
    </fill>
    <fill>
      <patternFill patternType="solid">
        <fgColor rgb="FFFFD700"/>
      </patternFill>
    </fill>
    <fill>
      <patternFill patternType="solid">
        <fgColor rgb="FFE2EFDA"/>
      </patternFill>
    </fill>
    <fill>
      <patternFill patternType="solid">
        <fgColor rgb="FF2E75B6"/>
      </patternFill>
    </fill>
    <fill>
      <patternFill patternType="solid">
        <fgColor rgb="FFEBF3FB"/>
      </patternFill>
    </fill>
    <fill>
      <patternFill patternType="solid">
        <fgColor rgb="FFDDEEFF"/>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0" fillId="7" borderId="1" xfId="0" applyFill="1" applyBorder="1"/>
    <xf numFmtId="0" fontId="0" fillId="3" borderId="1" xfId="0" applyFill="1" applyBorder="1"/>
    <xf numFmtId="0" fontId="0" fillId="5" borderId="1" xfId="0" applyFill="1" applyBorder="1"/>
    <xf numFmtId="0" fontId="0" fillId="8" borderId="1" xfId="0" applyFill="1" applyBorder="1"/>
    <xf numFmtId="0" fontId="0" fillId="9" borderId="1" xfId="0" applyFill="1" applyBorder="1"/>
    <xf numFmtId="0" fontId="2" fillId="3" borderId="0" xfId="0" applyFont="1" applyFill="1"/>
    <xf numFmtId="0" fontId="0" fillId="0" borderId="0" xfId="0"/>
    <xf numFmtId="0" fontId="1" fillId="2" borderId="0" xfId="0" applyFont="1" applyFill="1" applyAlignment="1">
      <alignment horizontal="center"/>
    </xf>
    <xf numFmtId="0" fontId="0" fillId="7" borderId="1" xfId="0" applyFill="1" applyBorder="1" applyAlignment="1">
      <alignment wrapText="1"/>
    </xf>
    <xf numFmtId="0" fontId="0" fillId="9"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5"/>
  <sheetViews>
    <sheetView tabSelected="1" workbookViewId="0">
      <pane ySplit="3" topLeftCell="A4" activePane="bottomLeft" state="frozen"/>
      <selection pane="bottomLeft" activeCell="C7" sqref="C7"/>
    </sheetView>
  </sheetViews>
  <sheetFormatPr defaultRowHeight="15" x14ac:dyDescent="0.25"/>
  <cols>
    <col min="1" max="1" width="11" customWidth="1"/>
    <col min="2" max="2" width="45" customWidth="1"/>
    <col min="3" max="3" width="12" customWidth="1"/>
    <col min="4" max="4" width="13" customWidth="1"/>
    <col min="5" max="5" width="17" customWidth="1"/>
    <col min="6" max="6" width="13" customWidth="1"/>
    <col min="7" max="8" width="12" customWidth="1"/>
    <col min="9" max="10" width="14" customWidth="1"/>
    <col min="11" max="11" width="20" customWidth="1"/>
    <col min="26" max="27" width="13" hidden="1" customWidth="1"/>
  </cols>
  <sheetData>
    <row r="1" spans="1:27" x14ac:dyDescent="0.25">
      <c r="A1" s="12" t="s">
        <v>0</v>
      </c>
      <c r="B1" s="11"/>
      <c r="C1" s="11"/>
      <c r="D1" s="11"/>
      <c r="E1" s="11"/>
      <c r="F1" s="11"/>
      <c r="G1" s="11"/>
      <c r="H1" s="11"/>
      <c r="I1" s="11"/>
      <c r="J1" s="11"/>
      <c r="K1" s="11"/>
    </row>
    <row r="2" spans="1:27" x14ac:dyDescent="0.25">
      <c r="A2" s="10" t="s">
        <v>1</v>
      </c>
      <c r="B2" s="11"/>
      <c r="C2" s="11"/>
      <c r="D2" s="11"/>
      <c r="E2" s="11"/>
      <c r="F2" s="11"/>
      <c r="G2" s="11"/>
      <c r="H2" s="11"/>
      <c r="I2" s="11"/>
      <c r="J2" s="11"/>
      <c r="K2" s="11"/>
    </row>
    <row r="3" spans="1:27" x14ac:dyDescent="0.25">
      <c r="A3" s="1" t="s">
        <v>2</v>
      </c>
      <c r="B3" s="1" t="s">
        <v>3</v>
      </c>
      <c r="C3" s="2" t="s">
        <v>4</v>
      </c>
      <c r="D3" s="2" t="s">
        <v>5</v>
      </c>
      <c r="E3" s="2" t="s">
        <v>6</v>
      </c>
      <c r="F3" s="3" t="s">
        <v>7</v>
      </c>
      <c r="G3" s="2" t="s">
        <v>8</v>
      </c>
      <c r="H3" s="2" t="s">
        <v>9</v>
      </c>
      <c r="I3" s="4" t="s">
        <v>10</v>
      </c>
      <c r="J3" s="4" t="s">
        <v>11</v>
      </c>
      <c r="K3" s="1" t="s">
        <v>12</v>
      </c>
    </row>
    <row r="4" spans="1:27" ht="15" customHeight="1" x14ac:dyDescent="0.25">
      <c r="A4" s="5" t="s">
        <v>13</v>
      </c>
      <c r="B4" s="13" t="s">
        <v>14</v>
      </c>
      <c r="C4" s="6"/>
      <c r="D4" s="6"/>
      <c r="E4" s="6"/>
      <c r="F4" s="7"/>
      <c r="G4" s="6"/>
      <c r="H4" s="6"/>
      <c r="I4" s="8">
        <f t="shared" ref="I4:I67" si="0">IF(G4="SIM",4,IF(OR(C4="MG",C4="SP",C4="PR",C4="RS",C4="SC",C4="ES"),7,12))</f>
        <v>12</v>
      </c>
      <c r="J4" s="8" t="str">
        <f>IF(C4="","",IFERROR(CHOOSE(MATCH(C4,{"AC","AL","AM","AP","BA","CE","DF","ES","GO","MA","MT","MS","MG","PA","PB","PR","PE","PI","RN","RS","RO","RR","SC","SP","SE","TO"},0),19,20,20,18,20.5,20,20,17,19,23,17,17,18,19,20,19.5,20.5,22.5,20,17,19.5,20,17,18,20,20),"?"))</f>
        <v/>
      </c>
      <c r="K4" s="5"/>
      <c r="Z4" t="s">
        <v>15</v>
      </c>
      <c r="AA4" t="s">
        <v>16</v>
      </c>
    </row>
    <row r="5" spans="1:27" ht="15" customHeight="1" x14ac:dyDescent="0.25">
      <c r="A5" s="9" t="s">
        <v>17</v>
      </c>
      <c r="B5" s="14" t="s">
        <v>18</v>
      </c>
      <c r="C5" s="6"/>
      <c r="D5" s="6"/>
      <c r="E5" s="6"/>
      <c r="F5" s="7"/>
      <c r="G5" s="6"/>
      <c r="H5" s="6"/>
      <c r="I5" s="8">
        <f t="shared" si="0"/>
        <v>12</v>
      </c>
      <c r="J5" s="8" t="str">
        <f>IF(C5="","",IFERROR(CHOOSE(MATCH(C5,{"AC","AL","AM","AP","BA","CE","DF","ES","GO","MA","MT","MS","MG","PA","PB","PR","PE","PI","RN","RS","RO","RR","SC","SP","SE","TO"},0),19,20,20,18,20.5,20,20,17,19,23,17,17,18,19,20,19.5,20.5,22.5,20,17,19.5,20,17,18,20,20),"?"))</f>
        <v/>
      </c>
      <c r="K5" s="9"/>
      <c r="Z5" t="s">
        <v>19</v>
      </c>
      <c r="AA5" t="s">
        <v>20</v>
      </c>
    </row>
    <row r="6" spans="1:27" ht="15" customHeight="1" x14ac:dyDescent="0.25">
      <c r="A6" s="5" t="s">
        <v>21</v>
      </c>
      <c r="B6" s="13" t="s">
        <v>22</v>
      </c>
      <c r="C6" s="6"/>
      <c r="D6" s="6"/>
      <c r="E6" s="6"/>
      <c r="F6" s="7"/>
      <c r="G6" s="6"/>
      <c r="H6" s="6"/>
      <c r="I6" s="8">
        <f t="shared" si="0"/>
        <v>12</v>
      </c>
      <c r="J6" s="8" t="str">
        <f>IF(C6="","",IFERROR(CHOOSE(MATCH(C6,{"AC","AL","AM","AP","BA","CE","DF","ES","GO","MA","MT","MS","MG","PA","PB","PR","PE","PI","RN","RS","RO","RR","SC","SP","SE","TO"},0),19,20,20,18,20.5,20,20,17,19,23,17,17,18,19,20,19.5,20.5,22.5,20,17,19.5,20,17,18,20,20),"?"))</f>
        <v/>
      </c>
      <c r="K6" s="5"/>
      <c r="Z6" t="s">
        <v>23</v>
      </c>
    </row>
    <row r="7" spans="1:27" ht="15" customHeight="1" x14ac:dyDescent="0.25">
      <c r="A7" s="9" t="s">
        <v>24</v>
      </c>
      <c r="B7" s="14" t="s">
        <v>25</v>
      </c>
      <c r="C7" s="6"/>
      <c r="D7" s="6"/>
      <c r="E7" s="6"/>
      <c r="F7" s="7"/>
      <c r="G7" s="6"/>
      <c r="H7" s="6"/>
      <c r="I7" s="8">
        <f t="shared" si="0"/>
        <v>12</v>
      </c>
      <c r="J7" s="8" t="str">
        <f>IF(C7="","",IFERROR(CHOOSE(MATCH(C7,{"AC","AL","AM","AP","BA","CE","DF","ES","GO","MA","MT","MS","MG","PA","PB","PR","PE","PI","RN","RS","RO","RR","SC","SP","SE","TO"},0),19,20,20,18,20.5,20,20,17,19,23,17,17,18,19,20,19.5,20.5,22.5,20,17,19.5,20,17,18,20,20),"?"))</f>
        <v/>
      </c>
      <c r="K7" s="9"/>
      <c r="Z7" t="s">
        <v>26</v>
      </c>
    </row>
    <row r="8" spans="1:27" ht="15" customHeight="1" x14ac:dyDescent="0.25">
      <c r="A8" s="5" t="s">
        <v>27</v>
      </c>
      <c r="B8" s="13" t="s">
        <v>28</v>
      </c>
      <c r="C8" s="6"/>
      <c r="D8" s="6"/>
      <c r="E8" s="6"/>
      <c r="F8" s="7"/>
      <c r="G8" s="6"/>
      <c r="H8" s="6"/>
      <c r="I8" s="8">
        <f t="shared" si="0"/>
        <v>12</v>
      </c>
      <c r="J8" s="8" t="str">
        <f>IF(C8="","",IFERROR(CHOOSE(MATCH(C8,{"AC","AL","AM","AP","BA","CE","DF","ES","GO","MA","MT","MS","MG","PA","PB","PR","PE","PI","RN","RS","RO","RR","SC","SP","SE","TO"},0),19,20,20,18,20.5,20,20,17,19,23,17,17,18,19,20,19.5,20.5,22.5,20,17,19.5,20,17,18,20,20),"?"))</f>
        <v/>
      </c>
      <c r="K8" s="5"/>
      <c r="Z8" t="s">
        <v>29</v>
      </c>
    </row>
    <row r="9" spans="1:27" ht="15" customHeight="1" x14ac:dyDescent="0.25">
      <c r="A9" s="9" t="s">
        <v>30</v>
      </c>
      <c r="B9" s="14" t="s">
        <v>31</v>
      </c>
      <c r="C9" s="6"/>
      <c r="D9" s="6"/>
      <c r="E9" s="6"/>
      <c r="F9" s="7"/>
      <c r="G9" s="6"/>
      <c r="H9" s="6"/>
      <c r="I9" s="8">
        <f t="shared" si="0"/>
        <v>12</v>
      </c>
      <c r="J9" s="8" t="str">
        <f>IF(C9="","",IFERROR(CHOOSE(MATCH(C9,{"AC","AL","AM","AP","BA","CE","DF","ES","GO","MA","MT","MS","MG","PA","PB","PR","PE","PI","RN","RS","RO","RR","SC","SP","SE","TO"},0),19,20,20,18,20.5,20,20,17,19,23,17,17,18,19,20,19.5,20.5,22.5,20,17,19.5,20,17,18,20,20),"?"))</f>
        <v/>
      </c>
      <c r="K9" s="9"/>
      <c r="Z9" t="s">
        <v>32</v>
      </c>
    </row>
    <row r="10" spans="1:27" ht="15" customHeight="1" x14ac:dyDescent="0.25">
      <c r="A10" s="5" t="s">
        <v>33</v>
      </c>
      <c r="B10" s="13" t="s">
        <v>14</v>
      </c>
      <c r="C10" s="6"/>
      <c r="D10" s="6"/>
      <c r="E10" s="6"/>
      <c r="F10" s="7"/>
      <c r="G10" s="6"/>
      <c r="H10" s="6"/>
      <c r="I10" s="8">
        <f t="shared" si="0"/>
        <v>12</v>
      </c>
      <c r="J10" s="8" t="str">
        <f>IF(C10="","",IFERROR(CHOOSE(MATCH(C10,{"AC","AL","AM","AP","BA","CE","DF","ES","GO","MA","MT","MS","MG","PA","PB","PR","PE","PI","RN","RS","RO","RR","SC","SP","SE","TO"},0),19,20,20,18,20.5,20,20,17,19,23,17,17,18,19,20,19.5,20.5,22.5,20,17,19.5,20,17,18,20,20),"?"))</f>
        <v/>
      </c>
      <c r="K10" s="5"/>
      <c r="Z10" t="s">
        <v>34</v>
      </c>
    </row>
    <row r="11" spans="1:27" ht="15" customHeight="1" x14ac:dyDescent="0.25">
      <c r="A11" s="9" t="s">
        <v>35</v>
      </c>
      <c r="B11" s="9" t="s">
        <v>36</v>
      </c>
      <c r="C11" s="6"/>
      <c r="D11" s="6"/>
      <c r="E11" s="6"/>
      <c r="F11" s="7"/>
      <c r="G11" s="6"/>
      <c r="H11" s="6"/>
      <c r="I11" s="8">
        <f t="shared" si="0"/>
        <v>12</v>
      </c>
      <c r="J11" s="8" t="str">
        <f>IF(C11="","",IFERROR(CHOOSE(MATCH(C11,{"AC","AL","AM","AP","BA","CE","DF","ES","GO","MA","MT","MS","MG","PA","PB","PR","PE","PI","RN","RS","RO","RR","SC","SP","SE","TO"},0),19,20,20,18,20.5,20,20,17,19,23,17,17,18,19,20,19.5,20.5,22.5,20,17,19.5,20,17,18,20,20),"?"))</f>
        <v/>
      </c>
      <c r="K11" s="9"/>
      <c r="Z11" t="s">
        <v>37</v>
      </c>
    </row>
    <row r="12" spans="1:27" ht="15" customHeight="1" x14ac:dyDescent="0.25">
      <c r="A12" s="5" t="s">
        <v>38</v>
      </c>
      <c r="B12" s="5" t="s">
        <v>39</v>
      </c>
      <c r="C12" s="6"/>
      <c r="D12" s="6"/>
      <c r="E12" s="6"/>
      <c r="F12" s="7"/>
      <c r="G12" s="6"/>
      <c r="H12" s="6"/>
      <c r="I12" s="8">
        <f t="shared" si="0"/>
        <v>12</v>
      </c>
      <c r="J12" s="8" t="str">
        <f>IF(C12="","",IFERROR(CHOOSE(MATCH(C12,{"AC","AL","AM","AP","BA","CE","DF","ES","GO","MA","MT","MS","MG","PA","PB","PR","PE","PI","RN","RS","RO","RR","SC","SP","SE","TO"},0),19,20,20,18,20.5,20,20,17,19,23,17,17,18,19,20,19.5,20.5,22.5,20,17,19.5,20,17,18,20,20),"?"))</f>
        <v/>
      </c>
      <c r="K12" s="5"/>
      <c r="Z12" t="s">
        <v>40</v>
      </c>
    </row>
    <row r="13" spans="1:27" ht="15" customHeight="1" x14ac:dyDescent="0.25">
      <c r="A13" s="9" t="s">
        <v>41</v>
      </c>
      <c r="B13" s="9" t="s">
        <v>42</v>
      </c>
      <c r="C13" s="6"/>
      <c r="D13" s="6"/>
      <c r="E13" s="6"/>
      <c r="F13" s="7"/>
      <c r="G13" s="6"/>
      <c r="H13" s="6"/>
      <c r="I13" s="8">
        <f t="shared" si="0"/>
        <v>12</v>
      </c>
      <c r="J13" s="8" t="str">
        <f>IF(C13="","",IFERROR(CHOOSE(MATCH(C13,{"AC","AL","AM","AP","BA","CE","DF","ES","GO","MA","MT","MS","MG","PA","PB","PR","PE","PI","RN","RS","RO","RR","SC","SP","SE","TO"},0),19,20,20,18,20.5,20,20,17,19,23,17,17,18,19,20,19.5,20.5,22.5,20,17,19.5,20,17,18,20,20),"?"))</f>
        <v/>
      </c>
      <c r="K13" s="9"/>
      <c r="Z13" t="s">
        <v>43</v>
      </c>
    </row>
    <row r="14" spans="1:27" ht="15" customHeight="1" x14ac:dyDescent="0.25">
      <c r="A14" s="5" t="s">
        <v>44</v>
      </c>
      <c r="B14" s="5" t="s">
        <v>45</v>
      </c>
      <c r="C14" s="6"/>
      <c r="D14" s="6"/>
      <c r="E14" s="6"/>
      <c r="F14" s="7"/>
      <c r="G14" s="6"/>
      <c r="H14" s="6"/>
      <c r="I14" s="8">
        <f t="shared" si="0"/>
        <v>12</v>
      </c>
      <c r="J14" s="8" t="str">
        <f>IF(C14="","",IFERROR(CHOOSE(MATCH(C14,{"AC","AL","AM","AP","BA","CE","DF","ES","GO","MA","MT","MS","MG","PA","PB","PR","PE","PI","RN","RS","RO","RR","SC","SP","SE","TO"},0),19,20,20,18,20.5,20,20,17,19,23,17,17,18,19,20,19.5,20.5,22.5,20,17,19.5,20,17,18,20,20),"?"))</f>
        <v/>
      </c>
      <c r="K14" s="5"/>
      <c r="Z14" t="s">
        <v>46</v>
      </c>
    </row>
    <row r="15" spans="1:27" x14ac:dyDescent="0.25">
      <c r="A15" s="9" t="s">
        <v>47</v>
      </c>
      <c r="B15" s="9" t="s">
        <v>48</v>
      </c>
      <c r="C15" s="6"/>
      <c r="D15" s="6"/>
      <c r="E15" s="6"/>
      <c r="F15" s="7"/>
      <c r="G15" s="6"/>
      <c r="H15" s="6"/>
      <c r="I15" s="8">
        <f t="shared" si="0"/>
        <v>12</v>
      </c>
      <c r="J15" s="8" t="str">
        <f>IF(C15="","",IFERROR(CHOOSE(MATCH(C15,{"AC","AL","AM","AP","BA","CE","DF","ES","GO","MA","MT","MS","MG","PA","PB","PR","PE","PI","RN","RS","RO","RR","SC","SP","SE","TO"},0),19,20,20,18,20.5,20,20,17,19,23,17,17,18,19,20,19.5,20.5,22.5,20,17,19.5,20,17,18,20,20),"?"))</f>
        <v/>
      </c>
      <c r="K15" s="9"/>
      <c r="Z15" t="s">
        <v>49</v>
      </c>
    </row>
    <row r="16" spans="1:27" x14ac:dyDescent="0.25">
      <c r="A16" s="5" t="s">
        <v>50</v>
      </c>
      <c r="B16" s="5" t="s">
        <v>51</v>
      </c>
      <c r="C16" s="6"/>
      <c r="D16" s="6"/>
      <c r="E16" s="6"/>
      <c r="F16" s="7"/>
      <c r="G16" s="6"/>
      <c r="H16" s="6"/>
      <c r="I16" s="8">
        <f t="shared" si="0"/>
        <v>12</v>
      </c>
      <c r="J16" s="8" t="str">
        <f>IF(C16="","",IFERROR(CHOOSE(MATCH(C16,{"AC","AL","AM","AP","BA","CE","DF","ES","GO","MA","MT","MS","MG","PA","PB","PR","PE","PI","RN","RS","RO","RR","SC","SP","SE","TO"},0),19,20,20,18,20.5,20,20,17,19,23,17,17,18,19,20,19.5,20.5,22.5,20,17,19.5,20,17,18,20,20),"?"))</f>
        <v/>
      </c>
      <c r="K16" s="5"/>
      <c r="Z16" t="s">
        <v>52</v>
      </c>
    </row>
    <row r="17" spans="1:26" x14ac:dyDescent="0.25">
      <c r="A17" s="9" t="s">
        <v>53</v>
      </c>
      <c r="B17" s="9" t="s">
        <v>54</v>
      </c>
      <c r="C17" s="6"/>
      <c r="D17" s="6"/>
      <c r="E17" s="6"/>
      <c r="F17" s="7"/>
      <c r="G17" s="6"/>
      <c r="H17" s="6"/>
      <c r="I17" s="8">
        <f t="shared" si="0"/>
        <v>12</v>
      </c>
      <c r="J17" s="8" t="str">
        <f>IF(C17="","",IFERROR(CHOOSE(MATCH(C17,{"AC","AL","AM","AP","BA","CE","DF","ES","GO","MA","MT","MS","MG","PA","PB","PR","PE","PI","RN","RS","RO","RR","SC","SP","SE","TO"},0),19,20,20,18,20.5,20,20,17,19,23,17,17,18,19,20,19.5,20.5,22.5,20,17,19.5,20,17,18,20,20),"?"))</f>
        <v/>
      </c>
      <c r="K17" s="9"/>
      <c r="Z17" t="s">
        <v>55</v>
      </c>
    </row>
    <row r="18" spans="1:26" x14ac:dyDescent="0.25">
      <c r="A18" s="5" t="s">
        <v>56</v>
      </c>
      <c r="B18" s="5" t="s">
        <v>57</v>
      </c>
      <c r="C18" s="6"/>
      <c r="D18" s="6"/>
      <c r="E18" s="6"/>
      <c r="F18" s="7"/>
      <c r="G18" s="6"/>
      <c r="H18" s="6"/>
      <c r="I18" s="8">
        <f t="shared" si="0"/>
        <v>12</v>
      </c>
      <c r="J18" s="8" t="str">
        <f>IF(C18="","",IFERROR(CHOOSE(MATCH(C18,{"AC","AL","AM","AP","BA","CE","DF","ES","GO","MA","MT","MS","MG","PA","PB","PR","PE","PI","RN","RS","RO","RR","SC","SP","SE","TO"},0),19,20,20,18,20.5,20,20,17,19,23,17,17,18,19,20,19.5,20.5,22.5,20,17,19.5,20,17,18,20,20),"?"))</f>
        <v/>
      </c>
      <c r="K18" s="5"/>
      <c r="Z18" t="s">
        <v>58</v>
      </c>
    </row>
    <row r="19" spans="1:26" x14ac:dyDescent="0.25">
      <c r="A19" s="9" t="s">
        <v>59</v>
      </c>
      <c r="B19" s="9" t="s">
        <v>60</v>
      </c>
      <c r="C19" s="6"/>
      <c r="D19" s="6"/>
      <c r="E19" s="6"/>
      <c r="F19" s="7"/>
      <c r="G19" s="6"/>
      <c r="H19" s="6"/>
      <c r="I19" s="8">
        <f t="shared" si="0"/>
        <v>12</v>
      </c>
      <c r="J19" s="8" t="str">
        <f>IF(C19="","",IFERROR(CHOOSE(MATCH(C19,{"AC","AL","AM","AP","BA","CE","DF","ES","GO","MA","MT","MS","MG","PA","PB","PR","PE","PI","RN","RS","RO","RR","SC","SP","SE","TO"},0),19,20,20,18,20.5,20,20,17,19,23,17,17,18,19,20,19.5,20.5,22.5,20,17,19.5,20,17,18,20,20),"?"))</f>
        <v/>
      </c>
      <c r="K19" s="9"/>
      <c r="Z19" t="s">
        <v>61</v>
      </c>
    </row>
    <row r="20" spans="1:26" x14ac:dyDescent="0.25">
      <c r="A20" s="5" t="s">
        <v>62</v>
      </c>
      <c r="B20" s="5" t="s">
        <v>63</v>
      </c>
      <c r="C20" s="6"/>
      <c r="D20" s="6"/>
      <c r="E20" s="6"/>
      <c r="F20" s="7"/>
      <c r="G20" s="6"/>
      <c r="H20" s="6"/>
      <c r="I20" s="8">
        <f t="shared" si="0"/>
        <v>12</v>
      </c>
      <c r="J20" s="8" t="str">
        <f>IF(C20="","",IFERROR(CHOOSE(MATCH(C20,{"AC","AL","AM","AP","BA","CE","DF","ES","GO","MA","MT","MS","MG","PA","PB","PR","PE","PI","RN","RS","RO","RR","SC","SP","SE","TO"},0),19,20,20,18,20.5,20,20,17,19,23,17,17,18,19,20,19.5,20.5,22.5,20,17,19.5,20,17,18,20,20),"?"))</f>
        <v/>
      </c>
      <c r="K20" s="5"/>
      <c r="Z20" t="s">
        <v>64</v>
      </c>
    </row>
    <row r="21" spans="1:26" x14ac:dyDescent="0.25">
      <c r="A21" s="9" t="s">
        <v>65</v>
      </c>
      <c r="B21" s="9" t="s">
        <v>66</v>
      </c>
      <c r="C21" s="6"/>
      <c r="D21" s="6"/>
      <c r="E21" s="6"/>
      <c r="F21" s="7"/>
      <c r="G21" s="6"/>
      <c r="H21" s="6"/>
      <c r="I21" s="8">
        <f t="shared" si="0"/>
        <v>12</v>
      </c>
      <c r="J21" s="8" t="str">
        <f>IF(C21="","",IFERROR(CHOOSE(MATCH(C21,{"AC","AL","AM","AP","BA","CE","DF","ES","GO","MA","MT","MS","MG","PA","PB","PR","PE","PI","RN","RS","RO","RR","SC","SP","SE","TO"},0),19,20,20,18,20.5,20,20,17,19,23,17,17,18,19,20,19.5,20.5,22.5,20,17,19.5,20,17,18,20,20),"?"))</f>
        <v/>
      </c>
      <c r="K21" s="9"/>
      <c r="Z21" t="s">
        <v>67</v>
      </c>
    </row>
    <row r="22" spans="1:26" x14ac:dyDescent="0.25">
      <c r="A22" s="5" t="s">
        <v>68</v>
      </c>
      <c r="B22" s="5" t="s">
        <v>69</v>
      </c>
      <c r="C22" s="6"/>
      <c r="D22" s="6"/>
      <c r="E22" s="6"/>
      <c r="F22" s="7"/>
      <c r="G22" s="6"/>
      <c r="H22" s="6"/>
      <c r="I22" s="8">
        <f t="shared" si="0"/>
        <v>12</v>
      </c>
      <c r="J22" s="8" t="str">
        <f>IF(C22="","",IFERROR(CHOOSE(MATCH(C22,{"AC","AL","AM","AP","BA","CE","DF","ES","GO","MA","MT","MS","MG","PA","PB","PR","PE","PI","RN","RS","RO","RR","SC","SP","SE","TO"},0),19,20,20,18,20.5,20,20,17,19,23,17,17,18,19,20,19.5,20.5,22.5,20,17,19.5,20,17,18,20,20),"?"))</f>
        <v/>
      </c>
      <c r="K22" s="5"/>
      <c r="Z22" t="s">
        <v>70</v>
      </c>
    </row>
    <row r="23" spans="1:26" x14ac:dyDescent="0.25">
      <c r="A23" s="9" t="s">
        <v>71</v>
      </c>
      <c r="B23" s="9" t="s">
        <v>72</v>
      </c>
      <c r="C23" s="6"/>
      <c r="D23" s="6"/>
      <c r="E23" s="6"/>
      <c r="F23" s="7"/>
      <c r="G23" s="6"/>
      <c r="H23" s="6"/>
      <c r="I23" s="8">
        <f t="shared" si="0"/>
        <v>12</v>
      </c>
      <c r="J23" s="8" t="str">
        <f>IF(C23="","",IFERROR(CHOOSE(MATCH(C23,{"AC","AL","AM","AP","BA","CE","DF","ES","GO","MA","MT","MS","MG","PA","PB","PR","PE","PI","RN","RS","RO","RR","SC","SP","SE","TO"},0),19,20,20,18,20.5,20,20,17,19,23,17,17,18,19,20,19.5,20.5,22.5,20,17,19.5,20,17,18,20,20),"?"))</f>
        <v/>
      </c>
      <c r="K23" s="9"/>
      <c r="Z23" t="s">
        <v>73</v>
      </c>
    </row>
    <row r="24" spans="1:26" x14ac:dyDescent="0.25">
      <c r="A24" s="5" t="s">
        <v>74</v>
      </c>
      <c r="B24" s="5" t="s">
        <v>75</v>
      </c>
      <c r="C24" s="6"/>
      <c r="D24" s="6"/>
      <c r="E24" s="6"/>
      <c r="F24" s="7"/>
      <c r="G24" s="6"/>
      <c r="H24" s="6"/>
      <c r="I24" s="8">
        <f t="shared" si="0"/>
        <v>12</v>
      </c>
      <c r="J24" s="8" t="str">
        <f>IF(C24="","",IFERROR(CHOOSE(MATCH(C24,{"AC","AL","AM","AP","BA","CE","DF","ES","GO","MA","MT","MS","MG","PA","PB","PR","PE","PI","RN","RS","RO","RR","SC","SP","SE","TO"},0),19,20,20,18,20.5,20,20,17,19,23,17,17,18,19,20,19.5,20.5,22.5,20,17,19.5,20,17,18,20,20),"?"))</f>
        <v/>
      </c>
      <c r="K24" s="5"/>
      <c r="Z24" t="s">
        <v>76</v>
      </c>
    </row>
    <row r="25" spans="1:26" x14ac:dyDescent="0.25">
      <c r="A25" s="9" t="s">
        <v>77</v>
      </c>
      <c r="B25" s="9" t="s">
        <v>78</v>
      </c>
      <c r="C25" s="6"/>
      <c r="D25" s="6"/>
      <c r="E25" s="6"/>
      <c r="F25" s="7"/>
      <c r="G25" s="6"/>
      <c r="H25" s="6"/>
      <c r="I25" s="8">
        <f t="shared" si="0"/>
        <v>12</v>
      </c>
      <c r="J25" s="8" t="str">
        <f>IF(C25="","",IFERROR(CHOOSE(MATCH(C25,{"AC","AL","AM","AP","BA","CE","DF","ES","GO","MA","MT","MS","MG","PA","PB","PR","PE","PI","RN","RS","RO","RR","SC","SP","SE","TO"},0),19,20,20,18,20.5,20,20,17,19,23,17,17,18,19,20,19.5,20.5,22.5,20,17,19.5,20,17,18,20,20),"?"))</f>
        <v/>
      </c>
      <c r="K25" s="9"/>
      <c r="Z25" t="s">
        <v>79</v>
      </c>
    </row>
    <row r="26" spans="1:26" x14ac:dyDescent="0.25">
      <c r="A26" s="5" t="s">
        <v>80</v>
      </c>
      <c r="B26" s="5" t="s">
        <v>81</v>
      </c>
      <c r="C26" s="6"/>
      <c r="D26" s="6"/>
      <c r="E26" s="6"/>
      <c r="F26" s="7"/>
      <c r="G26" s="6"/>
      <c r="H26" s="6"/>
      <c r="I26" s="8">
        <f t="shared" si="0"/>
        <v>12</v>
      </c>
      <c r="J26" s="8" t="str">
        <f>IF(C26="","",IFERROR(CHOOSE(MATCH(C26,{"AC","AL","AM","AP","BA","CE","DF","ES","GO","MA","MT","MS","MG","PA","PB","PR","PE","PI","RN","RS","RO","RR","SC","SP","SE","TO"},0),19,20,20,18,20.5,20,20,17,19,23,17,17,18,19,20,19.5,20.5,22.5,20,17,19.5,20,17,18,20,20),"?"))</f>
        <v/>
      </c>
      <c r="K26" s="5"/>
      <c r="Z26" t="s">
        <v>82</v>
      </c>
    </row>
    <row r="27" spans="1:26" x14ac:dyDescent="0.25">
      <c r="A27" s="9" t="s">
        <v>83</v>
      </c>
      <c r="B27" s="9" t="s">
        <v>84</v>
      </c>
      <c r="C27" s="6"/>
      <c r="D27" s="6"/>
      <c r="E27" s="6"/>
      <c r="F27" s="7"/>
      <c r="G27" s="6"/>
      <c r="H27" s="6"/>
      <c r="I27" s="8">
        <f t="shared" si="0"/>
        <v>12</v>
      </c>
      <c r="J27" s="8" t="str">
        <f>IF(C27="","",IFERROR(CHOOSE(MATCH(C27,{"AC","AL","AM","AP","BA","CE","DF","ES","GO","MA","MT","MS","MG","PA","PB","PR","PE","PI","RN","RS","RO","RR","SC","SP","SE","TO"},0),19,20,20,18,20.5,20,20,17,19,23,17,17,18,19,20,19.5,20.5,22.5,20,17,19.5,20,17,18,20,20),"?"))</f>
        <v/>
      </c>
      <c r="K27" s="9"/>
      <c r="Z27" t="s">
        <v>85</v>
      </c>
    </row>
    <row r="28" spans="1:26" x14ac:dyDescent="0.25">
      <c r="A28" s="5" t="s">
        <v>86</v>
      </c>
      <c r="B28" s="5" t="s">
        <v>87</v>
      </c>
      <c r="C28" s="6"/>
      <c r="D28" s="6"/>
      <c r="E28" s="6"/>
      <c r="F28" s="7"/>
      <c r="G28" s="6"/>
      <c r="H28" s="6"/>
      <c r="I28" s="8">
        <f t="shared" si="0"/>
        <v>12</v>
      </c>
      <c r="J28" s="8" t="str">
        <f>IF(C28="","",IFERROR(CHOOSE(MATCH(C28,{"AC","AL","AM","AP","BA","CE","DF","ES","GO","MA","MT","MS","MG","PA","PB","PR","PE","PI","RN","RS","RO","RR","SC","SP","SE","TO"},0),19,20,20,18,20.5,20,20,17,19,23,17,17,18,19,20,19.5,20.5,22.5,20,17,19.5,20,17,18,20,20),"?"))</f>
        <v/>
      </c>
      <c r="K28" s="5"/>
      <c r="Z28" t="s">
        <v>88</v>
      </c>
    </row>
    <row r="29" spans="1:26" x14ac:dyDescent="0.25">
      <c r="A29" s="9" t="s">
        <v>89</v>
      </c>
      <c r="B29" s="9" t="s">
        <v>90</v>
      </c>
      <c r="C29" s="6"/>
      <c r="D29" s="6"/>
      <c r="E29" s="6"/>
      <c r="F29" s="7"/>
      <c r="G29" s="6"/>
      <c r="H29" s="6"/>
      <c r="I29" s="8">
        <f t="shared" si="0"/>
        <v>12</v>
      </c>
      <c r="J29" s="8" t="str">
        <f>IF(C29="","",IFERROR(CHOOSE(MATCH(C29,{"AC","AL","AM","AP","BA","CE","DF","ES","GO","MA","MT","MS","MG","PA","PB","PR","PE","PI","RN","RS","RO","RR","SC","SP","SE","TO"},0),19,20,20,18,20.5,20,20,17,19,23,17,17,18,19,20,19.5,20.5,22.5,20,17,19.5,20,17,18,20,20),"?"))</f>
        <v/>
      </c>
      <c r="K29" s="9"/>
      <c r="Z29" t="s">
        <v>91</v>
      </c>
    </row>
    <row r="30" spans="1:26" x14ac:dyDescent="0.25">
      <c r="A30" s="5" t="s">
        <v>92</v>
      </c>
      <c r="B30" s="5" t="s">
        <v>93</v>
      </c>
      <c r="C30" s="6"/>
      <c r="D30" s="6"/>
      <c r="E30" s="6"/>
      <c r="F30" s="7"/>
      <c r="G30" s="6"/>
      <c r="H30" s="6"/>
      <c r="I30" s="8">
        <f t="shared" si="0"/>
        <v>12</v>
      </c>
      <c r="J30" s="8" t="str">
        <f>IF(C30="","",IFERROR(CHOOSE(MATCH(C30,{"AC","AL","AM","AP","BA","CE","DF","ES","GO","MA","MT","MS","MG","PA","PB","PR","PE","PI","RN","RS","RO","RR","SC","SP","SE","TO"},0),19,20,20,18,20.5,20,20,17,19,23,17,17,18,19,20,19.5,20.5,22.5,20,17,19.5,20,17,18,20,20),"?"))</f>
        <v/>
      </c>
      <c r="K30" s="5"/>
    </row>
    <row r="31" spans="1:26" x14ac:dyDescent="0.25">
      <c r="A31" s="9" t="s">
        <v>94</v>
      </c>
      <c r="B31" s="9" t="s">
        <v>95</v>
      </c>
      <c r="C31" s="6"/>
      <c r="D31" s="6"/>
      <c r="E31" s="6"/>
      <c r="F31" s="7"/>
      <c r="G31" s="6"/>
      <c r="H31" s="6"/>
      <c r="I31" s="8">
        <f t="shared" si="0"/>
        <v>12</v>
      </c>
      <c r="J31" s="8" t="str">
        <f>IF(C31="","",IFERROR(CHOOSE(MATCH(C31,{"AC","AL","AM","AP","BA","CE","DF","ES","GO","MA","MT","MS","MG","PA","PB","PR","PE","PI","RN","RS","RO","RR","SC","SP","SE","TO"},0),19,20,20,18,20.5,20,20,17,19,23,17,17,18,19,20,19.5,20.5,22.5,20,17,19.5,20,17,18,20,20),"?"))</f>
        <v/>
      </c>
      <c r="K31" s="9"/>
    </row>
    <row r="32" spans="1:26" x14ac:dyDescent="0.25">
      <c r="A32" s="5" t="s">
        <v>96</v>
      </c>
      <c r="B32" s="5" t="s">
        <v>97</v>
      </c>
      <c r="C32" s="6"/>
      <c r="D32" s="6"/>
      <c r="E32" s="6"/>
      <c r="F32" s="7"/>
      <c r="G32" s="6"/>
      <c r="H32" s="6"/>
      <c r="I32" s="8">
        <f t="shared" si="0"/>
        <v>12</v>
      </c>
      <c r="J32" s="8" t="str">
        <f>IF(C32="","",IFERROR(CHOOSE(MATCH(C32,{"AC","AL","AM","AP","BA","CE","DF","ES","GO","MA","MT","MS","MG","PA","PB","PR","PE","PI","RN","RS","RO","RR","SC","SP","SE","TO"},0),19,20,20,18,20.5,20,20,17,19,23,17,17,18,19,20,19.5,20.5,22.5,20,17,19.5,20,17,18,20,20),"?"))</f>
        <v/>
      </c>
      <c r="K32" s="5"/>
    </row>
    <row r="33" spans="1:11" x14ac:dyDescent="0.25">
      <c r="A33" s="9" t="s">
        <v>98</v>
      </c>
      <c r="B33" s="9" t="s">
        <v>99</v>
      </c>
      <c r="C33" s="6"/>
      <c r="D33" s="6"/>
      <c r="E33" s="6"/>
      <c r="F33" s="7"/>
      <c r="G33" s="6"/>
      <c r="H33" s="6"/>
      <c r="I33" s="8">
        <f t="shared" si="0"/>
        <v>12</v>
      </c>
      <c r="J33" s="8" t="str">
        <f>IF(C33="","",IFERROR(CHOOSE(MATCH(C33,{"AC","AL","AM","AP","BA","CE","DF","ES","GO","MA","MT","MS","MG","PA","PB","PR","PE","PI","RN","RS","RO","RR","SC","SP","SE","TO"},0),19,20,20,18,20.5,20,20,17,19,23,17,17,18,19,20,19.5,20.5,22.5,20,17,19.5,20,17,18,20,20),"?"))</f>
        <v/>
      </c>
      <c r="K33" s="9"/>
    </row>
    <row r="34" spans="1:11" x14ac:dyDescent="0.25">
      <c r="A34" s="5" t="s">
        <v>100</v>
      </c>
      <c r="B34" s="5" t="s">
        <v>101</v>
      </c>
      <c r="C34" s="6"/>
      <c r="D34" s="6"/>
      <c r="E34" s="6"/>
      <c r="F34" s="7"/>
      <c r="G34" s="6"/>
      <c r="H34" s="6"/>
      <c r="I34" s="8">
        <f t="shared" si="0"/>
        <v>12</v>
      </c>
      <c r="J34" s="8" t="str">
        <f>IF(C34="","",IFERROR(CHOOSE(MATCH(C34,{"AC","AL","AM","AP","BA","CE","DF","ES","GO","MA","MT","MS","MG","PA","PB","PR","PE","PI","RN","RS","RO","RR","SC","SP","SE","TO"},0),19,20,20,18,20.5,20,20,17,19,23,17,17,18,19,20,19.5,20.5,22.5,20,17,19.5,20,17,18,20,20),"?"))</f>
        <v/>
      </c>
      <c r="K34" s="5"/>
    </row>
    <row r="35" spans="1:11" x14ac:dyDescent="0.25">
      <c r="A35" s="9" t="s">
        <v>102</v>
      </c>
      <c r="B35" s="9" t="s">
        <v>103</v>
      </c>
      <c r="C35" s="6"/>
      <c r="D35" s="6"/>
      <c r="E35" s="6"/>
      <c r="F35" s="7"/>
      <c r="G35" s="6"/>
      <c r="H35" s="6"/>
      <c r="I35" s="8">
        <f t="shared" si="0"/>
        <v>12</v>
      </c>
      <c r="J35" s="8" t="str">
        <f>IF(C35="","",IFERROR(CHOOSE(MATCH(C35,{"AC","AL","AM","AP","BA","CE","DF","ES","GO","MA","MT","MS","MG","PA","PB","PR","PE","PI","RN","RS","RO","RR","SC","SP","SE","TO"},0),19,20,20,18,20.5,20,20,17,19,23,17,17,18,19,20,19.5,20.5,22.5,20,17,19.5,20,17,18,20,20),"?"))</f>
        <v/>
      </c>
      <c r="K35" s="9"/>
    </row>
    <row r="36" spans="1:11" x14ac:dyDescent="0.25">
      <c r="A36" s="5" t="s">
        <v>104</v>
      </c>
      <c r="B36" s="5" t="s">
        <v>105</v>
      </c>
      <c r="C36" s="6"/>
      <c r="D36" s="6"/>
      <c r="E36" s="6"/>
      <c r="F36" s="7"/>
      <c r="G36" s="6"/>
      <c r="H36" s="6"/>
      <c r="I36" s="8">
        <f t="shared" si="0"/>
        <v>12</v>
      </c>
      <c r="J36" s="8" t="str">
        <f>IF(C36="","",IFERROR(CHOOSE(MATCH(C36,{"AC","AL","AM","AP","BA","CE","DF","ES","GO","MA","MT","MS","MG","PA","PB","PR","PE","PI","RN","RS","RO","RR","SC","SP","SE","TO"},0),19,20,20,18,20.5,20,20,17,19,23,17,17,18,19,20,19.5,20.5,22.5,20,17,19.5,20,17,18,20,20),"?"))</f>
        <v/>
      </c>
      <c r="K36" s="5"/>
    </row>
    <row r="37" spans="1:11" x14ac:dyDescent="0.25">
      <c r="A37" s="9" t="s">
        <v>106</v>
      </c>
      <c r="B37" s="9" t="s">
        <v>107</v>
      </c>
      <c r="C37" s="6"/>
      <c r="D37" s="6"/>
      <c r="E37" s="6"/>
      <c r="F37" s="7"/>
      <c r="G37" s="6"/>
      <c r="H37" s="6"/>
      <c r="I37" s="8">
        <f t="shared" si="0"/>
        <v>12</v>
      </c>
      <c r="J37" s="8" t="str">
        <f>IF(C37="","",IFERROR(CHOOSE(MATCH(C37,{"AC","AL","AM","AP","BA","CE","DF","ES","GO","MA","MT","MS","MG","PA","PB","PR","PE","PI","RN","RS","RO","RR","SC","SP","SE","TO"},0),19,20,20,18,20.5,20,20,17,19,23,17,17,18,19,20,19.5,20.5,22.5,20,17,19.5,20,17,18,20,20),"?"))</f>
        <v/>
      </c>
      <c r="K37" s="9"/>
    </row>
    <row r="38" spans="1:11" x14ac:dyDescent="0.25">
      <c r="A38" s="5" t="s">
        <v>108</v>
      </c>
      <c r="B38" s="5" t="s">
        <v>109</v>
      </c>
      <c r="C38" s="6"/>
      <c r="D38" s="6"/>
      <c r="E38" s="6"/>
      <c r="F38" s="7"/>
      <c r="G38" s="6"/>
      <c r="H38" s="6"/>
      <c r="I38" s="8">
        <f t="shared" si="0"/>
        <v>12</v>
      </c>
      <c r="J38" s="8" t="str">
        <f>IF(C38="","",IFERROR(CHOOSE(MATCH(C38,{"AC","AL","AM","AP","BA","CE","DF","ES","GO","MA","MT","MS","MG","PA","PB","PR","PE","PI","RN","RS","RO","RR","SC","SP","SE","TO"},0),19,20,20,18,20.5,20,20,17,19,23,17,17,18,19,20,19.5,20.5,22.5,20,17,19.5,20,17,18,20,20),"?"))</f>
        <v/>
      </c>
      <c r="K38" s="5"/>
    </row>
    <row r="39" spans="1:11" x14ac:dyDescent="0.25">
      <c r="A39" s="9" t="s">
        <v>110</v>
      </c>
      <c r="B39" s="9" t="s">
        <v>111</v>
      </c>
      <c r="C39" s="6"/>
      <c r="D39" s="6"/>
      <c r="E39" s="6"/>
      <c r="F39" s="7"/>
      <c r="G39" s="6"/>
      <c r="H39" s="6"/>
      <c r="I39" s="8">
        <f t="shared" si="0"/>
        <v>12</v>
      </c>
      <c r="J39" s="8" t="str">
        <f>IF(C39="","",IFERROR(CHOOSE(MATCH(C39,{"AC","AL","AM","AP","BA","CE","DF","ES","GO","MA","MT","MS","MG","PA","PB","PR","PE","PI","RN","RS","RO","RR","SC","SP","SE","TO"},0),19,20,20,18,20.5,20,20,17,19,23,17,17,18,19,20,19.5,20.5,22.5,20,17,19.5,20,17,18,20,20),"?"))</f>
        <v/>
      </c>
      <c r="K39" s="9"/>
    </row>
    <row r="40" spans="1:11" x14ac:dyDescent="0.25">
      <c r="A40" s="5" t="s">
        <v>112</v>
      </c>
      <c r="B40" s="5" t="s">
        <v>113</v>
      </c>
      <c r="C40" s="6"/>
      <c r="D40" s="6"/>
      <c r="E40" s="6"/>
      <c r="F40" s="7"/>
      <c r="G40" s="6"/>
      <c r="H40" s="6"/>
      <c r="I40" s="8">
        <f t="shared" si="0"/>
        <v>12</v>
      </c>
      <c r="J40" s="8" t="str">
        <f>IF(C40="","",IFERROR(CHOOSE(MATCH(C40,{"AC","AL","AM","AP","BA","CE","DF","ES","GO","MA","MT","MS","MG","PA","PB","PR","PE","PI","RN","RS","RO","RR","SC","SP","SE","TO"},0),19,20,20,18,20.5,20,20,17,19,23,17,17,18,19,20,19.5,20.5,22.5,20,17,19.5,20,17,18,20,20),"?"))</f>
        <v/>
      </c>
      <c r="K40" s="5"/>
    </row>
    <row r="41" spans="1:11" x14ac:dyDescent="0.25">
      <c r="A41" s="9" t="s">
        <v>114</v>
      </c>
      <c r="B41" s="9" t="s">
        <v>78</v>
      </c>
      <c r="C41" s="6"/>
      <c r="D41" s="6"/>
      <c r="E41" s="6"/>
      <c r="F41" s="7"/>
      <c r="G41" s="6"/>
      <c r="H41" s="6"/>
      <c r="I41" s="8">
        <f t="shared" si="0"/>
        <v>12</v>
      </c>
      <c r="J41" s="8" t="str">
        <f>IF(C41="","",IFERROR(CHOOSE(MATCH(C41,{"AC","AL","AM","AP","BA","CE","DF","ES","GO","MA","MT","MS","MG","PA","PB","PR","PE","PI","RN","RS","RO","RR","SC","SP","SE","TO"},0),19,20,20,18,20.5,20,20,17,19,23,17,17,18,19,20,19.5,20.5,22.5,20,17,19.5,20,17,18,20,20),"?"))</f>
        <v/>
      </c>
      <c r="K41" s="9"/>
    </row>
    <row r="42" spans="1:11" x14ac:dyDescent="0.25">
      <c r="A42" s="5" t="s">
        <v>115</v>
      </c>
      <c r="B42" s="5" t="s">
        <v>78</v>
      </c>
      <c r="C42" s="6"/>
      <c r="D42" s="6"/>
      <c r="E42" s="6"/>
      <c r="F42" s="7"/>
      <c r="G42" s="6"/>
      <c r="H42" s="6"/>
      <c r="I42" s="8">
        <f t="shared" si="0"/>
        <v>12</v>
      </c>
      <c r="J42" s="8" t="str">
        <f>IF(C42="","",IFERROR(CHOOSE(MATCH(C42,{"AC","AL","AM","AP","BA","CE","DF","ES","GO","MA","MT","MS","MG","PA","PB","PR","PE","PI","RN","RS","RO","RR","SC","SP","SE","TO"},0),19,20,20,18,20.5,20,20,17,19,23,17,17,18,19,20,19.5,20.5,22.5,20,17,19.5,20,17,18,20,20),"?"))</f>
        <v/>
      </c>
      <c r="K42" s="5"/>
    </row>
    <row r="43" spans="1:11" x14ac:dyDescent="0.25">
      <c r="A43" s="9" t="s">
        <v>116</v>
      </c>
      <c r="B43" s="9" t="s">
        <v>78</v>
      </c>
      <c r="C43" s="6"/>
      <c r="D43" s="6"/>
      <c r="E43" s="6"/>
      <c r="F43" s="7"/>
      <c r="G43" s="6"/>
      <c r="H43" s="6"/>
      <c r="I43" s="8">
        <f t="shared" si="0"/>
        <v>12</v>
      </c>
      <c r="J43" s="8" t="str">
        <f>IF(C43="","",IFERROR(CHOOSE(MATCH(C43,{"AC","AL","AM","AP","BA","CE","DF","ES","GO","MA","MT","MS","MG","PA","PB","PR","PE","PI","RN","RS","RO","RR","SC","SP","SE","TO"},0),19,20,20,18,20.5,20,20,17,19,23,17,17,18,19,20,19.5,20.5,22.5,20,17,19.5,20,17,18,20,20),"?"))</f>
        <v/>
      </c>
      <c r="K43" s="9"/>
    </row>
    <row r="44" spans="1:11" x14ac:dyDescent="0.25">
      <c r="A44" s="5" t="s">
        <v>117</v>
      </c>
      <c r="B44" s="5" t="s">
        <v>78</v>
      </c>
      <c r="C44" s="6"/>
      <c r="D44" s="6"/>
      <c r="E44" s="6"/>
      <c r="F44" s="7"/>
      <c r="G44" s="6"/>
      <c r="H44" s="6"/>
      <c r="I44" s="8">
        <f t="shared" si="0"/>
        <v>12</v>
      </c>
      <c r="J44" s="8" t="str">
        <f>IF(C44="","",IFERROR(CHOOSE(MATCH(C44,{"AC","AL","AM","AP","BA","CE","DF","ES","GO","MA","MT","MS","MG","PA","PB","PR","PE","PI","RN","RS","RO","RR","SC","SP","SE","TO"},0),19,20,20,18,20.5,20,20,17,19,23,17,17,18,19,20,19.5,20.5,22.5,20,17,19.5,20,17,18,20,20),"?"))</f>
        <v/>
      </c>
      <c r="K44" s="5"/>
    </row>
    <row r="45" spans="1:11" x14ac:dyDescent="0.25">
      <c r="A45" s="9" t="s">
        <v>118</v>
      </c>
      <c r="B45" s="9" t="s">
        <v>119</v>
      </c>
      <c r="C45" s="6"/>
      <c r="D45" s="6"/>
      <c r="E45" s="6"/>
      <c r="F45" s="7"/>
      <c r="G45" s="6"/>
      <c r="H45" s="6"/>
      <c r="I45" s="8">
        <f t="shared" si="0"/>
        <v>12</v>
      </c>
      <c r="J45" s="8" t="str">
        <f>IF(C45="","",IFERROR(CHOOSE(MATCH(C45,{"AC","AL","AM","AP","BA","CE","DF","ES","GO","MA","MT","MS","MG","PA","PB","PR","PE","PI","RN","RS","RO","RR","SC","SP","SE","TO"},0),19,20,20,18,20.5,20,20,17,19,23,17,17,18,19,20,19.5,20.5,22.5,20,17,19.5,20,17,18,20,20),"?"))</f>
        <v/>
      </c>
      <c r="K45" s="9"/>
    </row>
    <row r="46" spans="1:11" x14ac:dyDescent="0.25">
      <c r="A46" s="5" t="s">
        <v>118</v>
      </c>
      <c r="B46" s="5" t="s">
        <v>120</v>
      </c>
      <c r="C46" s="6"/>
      <c r="D46" s="6"/>
      <c r="E46" s="6"/>
      <c r="F46" s="7"/>
      <c r="G46" s="6"/>
      <c r="H46" s="6"/>
      <c r="I46" s="8">
        <f t="shared" si="0"/>
        <v>12</v>
      </c>
      <c r="J46" s="8" t="str">
        <f>IF(C46="","",IFERROR(CHOOSE(MATCH(C46,{"AC","AL","AM","AP","BA","CE","DF","ES","GO","MA","MT","MS","MG","PA","PB","PR","PE","PI","RN","RS","RO","RR","SC","SP","SE","TO"},0),19,20,20,18,20.5,20,20,17,19,23,17,17,18,19,20,19.5,20.5,22.5,20,17,19.5,20,17,18,20,20),"?"))</f>
        <v/>
      </c>
      <c r="K46" s="5"/>
    </row>
    <row r="47" spans="1:11" x14ac:dyDescent="0.25">
      <c r="A47" s="9" t="s">
        <v>121</v>
      </c>
      <c r="B47" s="9" t="s">
        <v>119</v>
      </c>
      <c r="C47" s="6"/>
      <c r="D47" s="6"/>
      <c r="E47" s="6"/>
      <c r="F47" s="7"/>
      <c r="G47" s="6"/>
      <c r="H47" s="6"/>
      <c r="I47" s="8">
        <f t="shared" si="0"/>
        <v>12</v>
      </c>
      <c r="J47" s="8" t="str">
        <f>IF(C47="","",IFERROR(CHOOSE(MATCH(C47,{"AC","AL","AM","AP","BA","CE","DF","ES","GO","MA","MT","MS","MG","PA","PB","PR","PE","PI","RN","RS","RO","RR","SC","SP","SE","TO"},0),19,20,20,18,20.5,20,20,17,19,23,17,17,18,19,20,19.5,20.5,22.5,20,17,19.5,20,17,18,20,20),"?"))</f>
        <v/>
      </c>
      <c r="K47" s="9"/>
    </row>
    <row r="48" spans="1:11" x14ac:dyDescent="0.25">
      <c r="A48" s="5" t="s">
        <v>122</v>
      </c>
      <c r="B48" s="5" t="s">
        <v>123</v>
      </c>
      <c r="C48" s="6"/>
      <c r="D48" s="6"/>
      <c r="E48" s="6"/>
      <c r="F48" s="7"/>
      <c r="G48" s="6"/>
      <c r="H48" s="6"/>
      <c r="I48" s="8">
        <f t="shared" si="0"/>
        <v>12</v>
      </c>
      <c r="J48" s="8" t="str">
        <f>IF(C48="","",IFERROR(CHOOSE(MATCH(C48,{"AC","AL","AM","AP","BA","CE","DF","ES","GO","MA","MT","MS","MG","PA","PB","PR","PE","PI","RN","RS","RO","RR","SC","SP","SE","TO"},0),19,20,20,18,20.5,20,20,17,19,23,17,17,18,19,20,19.5,20.5,22.5,20,17,19.5,20,17,18,20,20),"?"))</f>
        <v/>
      </c>
      <c r="K48" s="5"/>
    </row>
    <row r="49" spans="1:11" x14ac:dyDescent="0.25">
      <c r="A49" s="9" t="s">
        <v>124</v>
      </c>
      <c r="B49" s="9" t="s">
        <v>125</v>
      </c>
      <c r="C49" s="6"/>
      <c r="D49" s="6"/>
      <c r="E49" s="6"/>
      <c r="F49" s="7"/>
      <c r="G49" s="6"/>
      <c r="H49" s="6"/>
      <c r="I49" s="8">
        <f t="shared" si="0"/>
        <v>12</v>
      </c>
      <c r="J49" s="8" t="str">
        <f>IF(C49="","",IFERROR(CHOOSE(MATCH(C49,{"AC","AL","AM","AP","BA","CE","DF","ES","GO","MA","MT","MS","MG","PA","PB","PR","PE","PI","RN","RS","RO","RR","SC","SP","SE","TO"},0),19,20,20,18,20.5,20,20,17,19,23,17,17,18,19,20,19.5,20.5,22.5,20,17,19.5,20,17,18,20,20),"?"))</f>
        <v/>
      </c>
      <c r="K49" s="9"/>
    </row>
    <row r="50" spans="1:11" x14ac:dyDescent="0.25">
      <c r="A50" s="5" t="s">
        <v>124</v>
      </c>
      <c r="B50" s="5" t="s">
        <v>126</v>
      </c>
      <c r="C50" s="6"/>
      <c r="D50" s="6"/>
      <c r="E50" s="6"/>
      <c r="F50" s="7"/>
      <c r="G50" s="6"/>
      <c r="H50" s="6"/>
      <c r="I50" s="8">
        <f t="shared" si="0"/>
        <v>12</v>
      </c>
      <c r="J50" s="8" t="str">
        <f>IF(C50="","",IFERROR(CHOOSE(MATCH(C50,{"AC","AL","AM","AP","BA","CE","DF","ES","GO","MA","MT","MS","MG","PA","PB","PR","PE","PI","RN","RS","RO","RR","SC","SP","SE","TO"},0),19,20,20,18,20.5,20,20,17,19,23,17,17,18,19,20,19.5,20.5,22.5,20,17,19.5,20,17,18,20,20),"?"))</f>
        <v/>
      </c>
      <c r="K50" s="5"/>
    </row>
    <row r="51" spans="1:11" x14ac:dyDescent="0.25">
      <c r="A51" s="9" t="s">
        <v>127</v>
      </c>
      <c r="B51" s="9" t="s">
        <v>128</v>
      </c>
      <c r="C51" s="6"/>
      <c r="D51" s="6"/>
      <c r="E51" s="6"/>
      <c r="F51" s="7"/>
      <c r="G51" s="6"/>
      <c r="H51" s="6"/>
      <c r="I51" s="8">
        <f t="shared" si="0"/>
        <v>12</v>
      </c>
      <c r="J51" s="8" t="str">
        <f>IF(C51="","",IFERROR(CHOOSE(MATCH(C51,{"AC","AL","AM","AP","BA","CE","DF","ES","GO","MA","MT","MS","MG","PA","PB","PR","PE","PI","RN","RS","RO","RR","SC","SP","SE","TO"},0),19,20,20,18,20.5,20,20,17,19,23,17,17,18,19,20,19.5,20.5,22.5,20,17,19.5,20,17,18,20,20),"?"))</f>
        <v/>
      </c>
      <c r="K51" s="9"/>
    </row>
    <row r="52" spans="1:11" x14ac:dyDescent="0.25">
      <c r="A52" s="5" t="s">
        <v>129</v>
      </c>
      <c r="B52" s="5" t="s">
        <v>130</v>
      </c>
      <c r="C52" s="6"/>
      <c r="D52" s="6"/>
      <c r="E52" s="6"/>
      <c r="F52" s="7"/>
      <c r="G52" s="6"/>
      <c r="H52" s="6"/>
      <c r="I52" s="8">
        <f t="shared" si="0"/>
        <v>12</v>
      </c>
      <c r="J52" s="8" t="str">
        <f>IF(C52="","",IFERROR(CHOOSE(MATCH(C52,{"AC","AL","AM","AP","BA","CE","DF","ES","GO","MA","MT","MS","MG","PA","PB","PR","PE","PI","RN","RS","RO","RR","SC","SP","SE","TO"},0),19,20,20,18,20.5,20,20,17,19,23,17,17,18,19,20,19.5,20.5,22.5,20,17,19.5,20,17,18,20,20),"?"))</f>
        <v/>
      </c>
      <c r="K52" s="5"/>
    </row>
    <row r="53" spans="1:11" x14ac:dyDescent="0.25">
      <c r="A53" s="9" t="s">
        <v>131</v>
      </c>
      <c r="B53" s="9" t="s">
        <v>132</v>
      </c>
      <c r="C53" s="6"/>
      <c r="D53" s="6"/>
      <c r="E53" s="6"/>
      <c r="F53" s="7"/>
      <c r="G53" s="6"/>
      <c r="H53" s="6"/>
      <c r="I53" s="8">
        <f t="shared" si="0"/>
        <v>12</v>
      </c>
      <c r="J53" s="8" t="str">
        <f>IF(C53="","",IFERROR(CHOOSE(MATCH(C53,{"AC","AL","AM","AP","BA","CE","DF","ES","GO","MA","MT","MS","MG","PA","PB","PR","PE","PI","RN","RS","RO","RR","SC","SP","SE","TO"},0),19,20,20,18,20.5,20,20,17,19,23,17,17,18,19,20,19.5,20.5,22.5,20,17,19.5,20,17,18,20,20),"?"))</f>
        <v/>
      </c>
      <c r="K53" s="9"/>
    </row>
    <row r="54" spans="1:11" x14ac:dyDescent="0.25">
      <c r="A54" s="5" t="s">
        <v>133</v>
      </c>
      <c r="B54" s="5" t="s">
        <v>134</v>
      </c>
      <c r="C54" s="6"/>
      <c r="D54" s="6"/>
      <c r="E54" s="6"/>
      <c r="F54" s="7"/>
      <c r="G54" s="6"/>
      <c r="H54" s="6"/>
      <c r="I54" s="8">
        <f t="shared" si="0"/>
        <v>12</v>
      </c>
      <c r="J54" s="8" t="str">
        <f>IF(C54="","",IFERROR(CHOOSE(MATCH(C54,{"AC","AL","AM","AP","BA","CE","DF","ES","GO","MA","MT","MS","MG","PA","PB","PR","PE","PI","RN","RS","RO","RR","SC","SP","SE","TO"},0),19,20,20,18,20.5,20,20,17,19,23,17,17,18,19,20,19.5,20.5,22.5,20,17,19.5,20,17,18,20,20),"?"))</f>
        <v/>
      </c>
      <c r="K54" s="5"/>
    </row>
    <row r="55" spans="1:11" x14ac:dyDescent="0.25">
      <c r="A55" s="9" t="s">
        <v>135</v>
      </c>
      <c r="B55" s="9" t="s">
        <v>136</v>
      </c>
      <c r="C55" s="6"/>
      <c r="D55" s="6"/>
      <c r="E55" s="6"/>
      <c r="F55" s="7"/>
      <c r="G55" s="6"/>
      <c r="H55" s="6"/>
      <c r="I55" s="8">
        <f t="shared" si="0"/>
        <v>12</v>
      </c>
      <c r="J55" s="8" t="str">
        <f>IF(C55="","",IFERROR(CHOOSE(MATCH(C55,{"AC","AL","AM","AP","BA","CE","DF","ES","GO","MA","MT","MS","MG","PA","PB","PR","PE","PI","RN","RS","RO","RR","SC","SP","SE","TO"},0),19,20,20,18,20.5,20,20,17,19,23,17,17,18,19,20,19.5,20.5,22.5,20,17,19.5,20,17,18,20,20),"?"))</f>
        <v/>
      </c>
      <c r="K55" s="9"/>
    </row>
    <row r="56" spans="1:11" x14ac:dyDescent="0.25">
      <c r="A56" s="5" t="s">
        <v>137</v>
      </c>
      <c r="B56" s="5" t="s">
        <v>138</v>
      </c>
      <c r="C56" s="6"/>
      <c r="D56" s="6"/>
      <c r="E56" s="6"/>
      <c r="F56" s="7"/>
      <c r="G56" s="6"/>
      <c r="H56" s="6"/>
      <c r="I56" s="8">
        <f t="shared" si="0"/>
        <v>12</v>
      </c>
      <c r="J56" s="8" t="str">
        <f>IF(C56="","",IFERROR(CHOOSE(MATCH(C56,{"AC","AL","AM","AP","BA","CE","DF","ES","GO","MA","MT","MS","MG","PA","PB","PR","PE","PI","RN","RS","RO","RR","SC","SP","SE","TO"},0),19,20,20,18,20.5,20,20,17,19,23,17,17,18,19,20,19.5,20.5,22.5,20,17,19.5,20,17,18,20,20),"?"))</f>
        <v/>
      </c>
      <c r="K56" s="5"/>
    </row>
    <row r="57" spans="1:11" x14ac:dyDescent="0.25">
      <c r="A57" s="9" t="s">
        <v>139</v>
      </c>
      <c r="B57" s="9" t="s">
        <v>140</v>
      </c>
      <c r="C57" s="6"/>
      <c r="D57" s="6"/>
      <c r="E57" s="6"/>
      <c r="F57" s="7"/>
      <c r="G57" s="6"/>
      <c r="H57" s="6"/>
      <c r="I57" s="8">
        <f t="shared" si="0"/>
        <v>12</v>
      </c>
      <c r="J57" s="8" t="str">
        <f>IF(C57="","",IFERROR(CHOOSE(MATCH(C57,{"AC","AL","AM","AP","BA","CE","DF","ES","GO","MA","MT","MS","MG","PA","PB","PR","PE","PI","RN","RS","RO","RR","SC","SP","SE","TO"},0),19,20,20,18,20.5,20,20,17,19,23,17,17,18,19,20,19.5,20.5,22.5,20,17,19.5,20,17,18,20,20),"?"))</f>
        <v/>
      </c>
      <c r="K57" s="9"/>
    </row>
    <row r="58" spans="1:11" x14ac:dyDescent="0.25">
      <c r="A58" s="5" t="s">
        <v>141</v>
      </c>
      <c r="B58" s="5" t="s">
        <v>142</v>
      </c>
      <c r="C58" s="6"/>
      <c r="D58" s="6"/>
      <c r="E58" s="6"/>
      <c r="F58" s="7"/>
      <c r="G58" s="6"/>
      <c r="H58" s="6"/>
      <c r="I58" s="8">
        <f t="shared" si="0"/>
        <v>12</v>
      </c>
      <c r="J58" s="8" t="str">
        <f>IF(C58="","",IFERROR(CHOOSE(MATCH(C58,{"AC","AL","AM","AP","BA","CE","DF","ES","GO","MA","MT","MS","MG","PA","PB","PR","PE","PI","RN","RS","RO","RR","SC","SP","SE","TO"},0),19,20,20,18,20.5,20,20,17,19,23,17,17,18,19,20,19.5,20.5,22.5,20,17,19.5,20,17,18,20,20),"?"))</f>
        <v/>
      </c>
      <c r="K58" s="5"/>
    </row>
    <row r="59" spans="1:11" x14ac:dyDescent="0.25">
      <c r="A59" s="9" t="s">
        <v>143</v>
      </c>
      <c r="B59" s="9" t="s">
        <v>144</v>
      </c>
      <c r="C59" s="6"/>
      <c r="D59" s="6"/>
      <c r="E59" s="6"/>
      <c r="F59" s="7"/>
      <c r="G59" s="6"/>
      <c r="H59" s="6"/>
      <c r="I59" s="8">
        <f t="shared" si="0"/>
        <v>12</v>
      </c>
      <c r="J59" s="8" t="str">
        <f>IF(C59="","",IFERROR(CHOOSE(MATCH(C59,{"AC","AL","AM","AP","BA","CE","DF","ES","GO","MA","MT","MS","MG","PA","PB","PR","PE","PI","RN","RS","RO","RR","SC","SP","SE","TO"},0),19,20,20,18,20.5,20,20,17,19,23,17,17,18,19,20,19.5,20.5,22.5,20,17,19.5,20,17,18,20,20),"?"))</f>
        <v/>
      </c>
      <c r="K59" s="9"/>
    </row>
    <row r="60" spans="1:11" x14ac:dyDescent="0.25">
      <c r="A60" s="5" t="s">
        <v>145</v>
      </c>
      <c r="B60" s="5" t="s">
        <v>146</v>
      </c>
      <c r="C60" s="6"/>
      <c r="D60" s="6"/>
      <c r="E60" s="6"/>
      <c r="F60" s="7"/>
      <c r="G60" s="6"/>
      <c r="H60" s="6"/>
      <c r="I60" s="8">
        <f t="shared" si="0"/>
        <v>12</v>
      </c>
      <c r="J60" s="8" t="str">
        <f>IF(C60="","",IFERROR(CHOOSE(MATCH(C60,{"AC","AL","AM","AP","BA","CE","DF","ES","GO","MA","MT","MS","MG","PA","PB","PR","PE","PI","RN","RS","RO","RR","SC","SP","SE","TO"},0),19,20,20,18,20.5,20,20,17,19,23,17,17,18,19,20,19.5,20.5,22.5,20,17,19.5,20,17,18,20,20),"?"))</f>
        <v/>
      </c>
      <c r="K60" s="5"/>
    </row>
    <row r="61" spans="1:11" x14ac:dyDescent="0.25">
      <c r="A61" s="9" t="s">
        <v>147</v>
      </c>
      <c r="B61" s="9" t="s">
        <v>148</v>
      </c>
      <c r="C61" s="6"/>
      <c r="D61" s="6"/>
      <c r="E61" s="6"/>
      <c r="F61" s="7"/>
      <c r="G61" s="6"/>
      <c r="H61" s="6"/>
      <c r="I61" s="8">
        <f t="shared" si="0"/>
        <v>12</v>
      </c>
      <c r="J61" s="8" t="str">
        <f>IF(C61="","",IFERROR(CHOOSE(MATCH(C61,{"AC","AL","AM","AP","BA","CE","DF","ES","GO","MA","MT","MS","MG","PA","PB","PR","PE","PI","RN","RS","RO","RR","SC","SP","SE","TO"},0),19,20,20,18,20.5,20,20,17,19,23,17,17,18,19,20,19.5,20.5,22.5,20,17,19.5,20,17,18,20,20),"?"))</f>
        <v/>
      </c>
      <c r="K61" s="9"/>
    </row>
    <row r="62" spans="1:11" x14ac:dyDescent="0.25">
      <c r="A62" s="5" t="s">
        <v>149</v>
      </c>
      <c r="B62" s="5" t="s">
        <v>148</v>
      </c>
      <c r="C62" s="6"/>
      <c r="D62" s="6"/>
      <c r="E62" s="6"/>
      <c r="F62" s="7"/>
      <c r="G62" s="6"/>
      <c r="H62" s="6"/>
      <c r="I62" s="8">
        <f t="shared" si="0"/>
        <v>12</v>
      </c>
      <c r="J62" s="8" t="str">
        <f>IF(C62="","",IFERROR(CHOOSE(MATCH(C62,{"AC","AL","AM","AP","BA","CE","DF","ES","GO","MA","MT","MS","MG","PA","PB","PR","PE","PI","RN","RS","RO","RR","SC","SP","SE","TO"},0),19,20,20,18,20.5,20,20,17,19,23,17,17,18,19,20,19.5,20.5,22.5,20,17,19.5,20,17,18,20,20),"?"))</f>
        <v/>
      </c>
      <c r="K62" s="5"/>
    </row>
    <row r="63" spans="1:11" x14ac:dyDescent="0.25">
      <c r="A63" s="9" t="s">
        <v>150</v>
      </c>
      <c r="B63" s="9" t="s">
        <v>151</v>
      </c>
      <c r="C63" s="6"/>
      <c r="D63" s="6"/>
      <c r="E63" s="6"/>
      <c r="F63" s="7"/>
      <c r="G63" s="6"/>
      <c r="H63" s="6"/>
      <c r="I63" s="8">
        <f t="shared" si="0"/>
        <v>12</v>
      </c>
      <c r="J63" s="8" t="str">
        <f>IF(C63="","",IFERROR(CHOOSE(MATCH(C63,{"AC","AL","AM","AP","BA","CE","DF","ES","GO","MA","MT","MS","MG","PA","PB","PR","PE","PI","RN","RS","RO","RR","SC","SP","SE","TO"},0),19,20,20,18,20.5,20,20,17,19,23,17,17,18,19,20,19.5,20.5,22.5,20,17,19.5,20,17,18,20,20),"?"))</f>
        <v/>
      </c>
      <c r="K63" s="9"/>
    </row>
    <row r="64" spans="1:11" x14ac:dyDescent="0.25">
      <c r="A64" s="5" t="s">
        <v>152</v>
      </c>
      <c r="B64" s="5" t="s">
        <v>151</v>
      </c>
      <c r="C64" s="6"/>
      <c r="D64" s="6"/>
      <c r="E64" s="6"/>
      <c r="F64" s="7"/>
      <c r="G64" s="6"/>
      <c r="H64" s="6"/>
      <c r="I64" s="8">
        <f t="shared" si="0"/>
        <v>12</v>
      </c>
      <c r="J64" s="8" t="str">
        <f>IF(C64="","",IFERROR(CHOOSE(MATCH(C64,{"AC","AL","AM","AP","BA","CE","DF","ES","GO","MA","MT","MS","MG","PA","PB","PR","PE","PI","RN","RS","RO","RR","SC","SP","SE","TO"},0),19,20,20,18,20.5,20,20,17,19,23,17,17,18,19,20,19.5,20.5,22.5,20,17,19.5,20,17,18,20,20),"?"))</f>
        <v/>
      </c>
      <c r="K64" s="5"/>
    </row>
    <row r="65" spans="1:11" x14ac:dyDescent="0.25">
      <c r="A65" s="9" t="s">
        <v>153</v>
      </c>
      <c r="B65" s="9" t="s">
        <v>97</v>
      </c>
      <c r="C65" s="6"/>
      <c r="D65" s="6"/>
      <c r="E65" s="6"/>
      <c r="F65" s="7"/>
      <c r="G65" s="6"/>
      <c r="H65" s="6"/>
      <c r="I65" s="8">
        <f t="shared" si="0"/>
        <v>12</v>
      </c>
      <c r="J65" s="8" t="str">
        <f>IF(C65="","",IFERROR(CHOOSE(MATCH(C65,{"AC","AL","AM","AP","BA","CE","DF","ES","GO","MA","MT","MS","MG","PA","PB","PR","PE","PI","RN","RS","RO","RR","SC","SP","SE","TO"},0),19,20,20,18,20.5,20,20,17,19,23,17,17,18,19,20,19.5,20.5,22.5,20,17,19.5,20,17,18,20,20),"?"))</f>
        <v/>
      </c>
      <c r="K65" s="9"/>
    </row>
    <row r="66" spans="1:11" x14ac:dyDescent="0.25">
      <c r="A66" s="5" t="s">
        <v>154</v>
      </c>
      <c r="B66" s="5" t="s">
        <v>155</v>
      </c>
      <c r="C66" s="6"/>
      <c r="D66" s="6"/>
      <c r="E66" s="6"/>
      <c r="F66" s="7"/>
      <c r="G66" s="6"/>
      <c r="H66" s="6"/>
      <c r="I66" s="8">
        <f t="shared" si="0"/>
        <v>12</v>
      </c>
      <c r="J66" s="8" t="str">
        <f>IF(C66="","",IFERROR(CHOOSE(MATCH(C66,{"AC","AL","AM","AP","BA","CE","DF","ES","GO","MA","MT","MS","MG","PA","PB","PR","PE","PI","RN","RS","RO","RR","SC","SP","SE","TO"},0),19,20,20,18,20.5,20,20,17,19,23,17,17,18,19,20,19.5,20.5,22.5,20,17,19.5,20,17,18,20,20),"?"))</f>
        <v/>
      </c>
      <c r="K66" s="5"/>
    </row>
    <row r="67" spans="1:11" x14ac:dyDescent="0.25">
      <c r="A67" s="9" t="s">
        <v>156</v>
      </c>
      <c r="B67" s="9" t="s">
        <v>155</v>
      </c>
      <c r="C67" s="6"/>
      <c r="D67" s="6"/>
      <c r="E67" s="6"/>
      <c r="F67" s="7"/>
      <c r="G67" s="6"/>
      <c r="H67" s="6"/>
      <c r="I67" s="8">
        <f t="shared" si="0"/>
        <v>12</v>
      </c>
      <c r="J67" s="8" t="str">
        <f>IF(C67="","",IFERROR(CHOOSE(MATCH(C67,{"AC","AL","AM","AP","BA","CE","DF","ES","GO","MA","MT","MS","MG","PA","PB","PR","PE","PI","RN","RS","RO","RR","SC","SP","SE","TO"},0),19,20,20,18,20.5,20,20,17,19,23,17,17,18,19,20,19.5,20.5,22.5,20,17,19.5,20,17,18,20,20),"?"))</f>
        <v/>
      </c>
      <c r="K67" s="9"/>
    </row>
    <row r="68" spans="1:11" x14ac:dyDescent="0.25">
      <c r="A68" s="5" t="s">
        <v>157</v>
      </c>
      <c r="B68" s="5" t="s">
        <v>158</v>
      </c>
      <c r="C68" s="6"/>
      <c r="D68" s="6"/>
      <c r="E68" s="6"/>
      <c r="F68" s="7"/>
      <c r="G68" s="6"/>
      <c r="H68" s="6"/>
      <c r="I68" s="8">
        <f t="shared" ref="I68:I131" si="1">IF(G68="SIM",4,IF(OR(C68="MG",C68="SP",C68="PR",C68="RS",C68="SC",C68="ES"),7,12))</f>
        <v>12</v>
      </c>
      <c r="J68" s="8" t="str">
        <f>IF(C68="","",IFERROR(CHOOSE(MATCH(C68,{"AC","AL","AM","AP","BA","CE","DF","ES","GO","MA","MT","MS","MG","PA","PB","PR","PE","PI","RN","RS","RO","RR","SC","SP","SE","TO"},0),19,20,20,18,20.5,20,20,17,19,23,17,17,18,19,20,19.5,20.5,22.5,20,17,19.5,20,17,18,20,20),"?"))</f>
        <v/>
      </c>
      <c r="K68" s="5"/>
    </row>
    <row r="69" spans="1:11" x14ac:dyDescent="0.25">
      <c r="A69" s="9" t="s">
        <v>159</v>
      </c>
      <c r="B69" s="9" t="s">
        <v>160</v>
      </c>
      <c r="C69" s="6"/>
      <c r="D69" s="6"/>
      <c r="E69" s="6"/>
      <c r="F69" s="7"/>
      <c r="G69" s="6"/>
      <c r="H69" s="6"/>
      <c r="I69" s="8">
        <f t="shared" si="1"/>
        <v>12</v>
      </c>
      <c r="J69" s="8" t="str">
        <f>IF(C69="","",IFERROR(CHOOSE(MATCH(C69,{"AC","AL","AM","AP","BA","CE","DF","ES","GO","MA","MT","MS","MG","PA","PB","PR","PE","PI","RN","RS","RO","RR","SC","SP","SE","TO"},0),19,20,20,18,20.5,20,20,17,19,23,17,17,18,19,20,19.5,20.5,22.5,20,17,19.5,20,17,18,20,20),"?"))</f>
        <v/>
      </c>
      <c r="K69" s="9"/>
    </row>
    <row r="70" spans="1:11" x14ac:dyDescent="0.25">
      <c r="A70" s="5" t="s">
        <v>161</v>
      </c>
      <c r="B70" s="5" t="s">
        <v>162</v>
      </c>
      <c r="C70" s="6"/>
      <c r="D70" s="6"/>
      <c r="E70" s="6"/>
      <c r="F70" s="7"/>
      <c r="G70" s="6"/>
      <c r="H70" s="6"/>
      <c r="I70" s="8">
        <f t="shared" si="1"/>
        <v>12</v>
      </c>
      <c r="J70" s="8" t="str">
        <f>IF(C70="","",IFERROR(CHOOSE(MATCH(C70,{"AC","AL","AM","AP","BA","CE","DF","ES","GO","MA","MT","MS","MG","PA","PB","PR","PE","PI","RN","RS","RO","RR","SC","SP","SE","TO"},0),19,20,20,18,20.5,20,20,17,19,23,17,17,18,19,20,19.5,20.5,22.5,20,17,19.5,20,17,18,20,20),"?"))</f>
        <v/>
      </c>
      <c r="K70" s="5"/>
    </row>
    <row r="71" spans="1:11" x14ac:dyDescent="0.25">
      <c r="A71" s="9" t="s">
        <v>163</v>
      </c>
      <c r="B71" s="9" t="s">
        <v>164</v>
      </c>
      <c r="C71" s="6"/>
      <c r="D71" s="6"/>
      <c r="E71" s="6"/>
      <c r="F71" s="7"/>
      <c r="G71" s="6"/>
      <c r="H71" s="6"/>
      <c r="I71" s="8">
        <f t="shared" si="1"/>
        <v>12</v>
      </c>
      <c r="J71" s="8" t="str">
        <f>IF(C71="","",IFERROR(CHOOSE(MATCH(C71,{"AC","AL","AM","AP","BA","CE","DF","ES","GO","MA","MT","MS","MG","PA","PB","PR","PE","PI","RN","RS","RO","RR","SC","SP","SE","TO"},0),19,20,20,18,20.5,20,20,17,19,23,17,17,18,19,20,19.5,20.5,22.5,20,17,19.5,20,17,18,20,20),"?"))</f>
        <v/>
      </c>
      <c r="K71" s="9"/>
    </row>
    <row r="72" spans="1:11" x14ac:dyDescent="0.25">
      <c r="A72" s="5" t="s">
        <v>165</v>
      </c>
      <c r="B72" s="5" t="s">
        <v>166</v>
      </c>
      <c r="C72" s="6"/>
      <c r="D72" s="6"/>
      <c r="E72" s="6"/>
      <c r="F72" s="7"/>
      <c r="G72" s="6"/>
      <c r="H72" s="6"/>
      <c r="I72" s="8">
        <f t="shared" si="1"/>
        <v>12</v>
      </c>
      <c r="J72" s="8" t="str">
        <f>IF(C72="","",IFERROR(CHOOSE(MATCH(C72,{"AC","AL","AM","AP","BA","CE","DF","ES","GO","MA","MT","MS","MG","PA","PB","PR","PE","PI","RN","RS","RO","RR","SC","SP","SE","TO"},0),19,20,20,18,20.5,20,20,17,19,23,17,17,18,19,20,19.5,20.5,22.5,20,17,19.5,20,17,18,20,20),"?"))</f>
        <v/>
      </c>
      <c r="K72" s="5"/>
    </row>
    <row r="73" spans="1:11" x14ac:dyDescent="0.25">
      <c r="A73" s="9" t="s">
        <v>167</v>
      </c>
      <c r="B73" s="9" t="s">
        <v>168</v>
      </c>
      <c r="C73" s="6"/>
      <c r="D73" s="6"/>
      <c r="E73" s="6"/>
      <c r="F73" s="7"/>
      <c r="G73" s="6"/>
      <c r="H73" s="6"/>
      <c r="I73" s="8">
        <f t="shared" si="1"/>
        <v>12</v>
      </c>
      <c r="J73" s="8" t="str">
        <f>IF(C73="","",IFERROR(CHOOSE(MATCH(C73,{"AC","AL","AM","AP","BA","CE","DF","ES","GO","MA","MT","MS","MG","PA","PB","PR","PE","PI","RN","RS","RO","RR","SC","SP","SE","TO"},0),19,20,20,18,20.5,20,20,17,19,23,17,17,18,19,20,19.5,20.5,22.5,20,17,19.5,20,17,18,20,20),"?"))</f>
        <v/>
      </c>
      <c r="K73" s="9"/>
    </row>
    <row r="74" spans="1:11" x14ac:dyDescent="0.25">
      <c r="A74" s="5" t="s">
        <v>169</v>
      </c>
      <c r="B74" s="5" t="s">
        <v>170</v>
      </c>
      <c r="C74" s="6"/>
      <c r="D74" s="6"/>
      <c r="E74" s="6"/>
      <c r="F74" s="7"/>
      <c r="G74" s="6"/>
      <c r="H74" s="6"/>
      <c r="I74" s="8">
        <f t="shared" si="1"/>
        <v>12</v>
      </c>
      <c r="J74" s="8" t="str">
        <f>IF(C74="","",IFERROR(CHOOSE(MATCH(C74,{"AC","AL","AM","AP","BA","CE","DF","ES","GO","MA","MT","MS","MG","PA","PB","PR","PE","PI","RN","RS","RO","RR","SC","SP","SE","TO"},0),19,20,20,18,20.5,20,20,17,19,23,17,17,18,19,20,19.5,20.5,22.5,20,17,19.5,20,17,18,20,20),"?"))</f>
        <v/>
      </c>
      <c r="K74" s="5"/>
    </row>
    <row r="75" spans="1:11" x14ac:dyDescent="0.25">
      <c r="A75" s="9" t="s">
        <v>171</v>
      </c>
      <c r="B75" s="9" t="s">
        <v>172</v>
      </c>
      <c r="C75" s="6"/>
      <c r="D75" s="6"/>
      <c r="E75" s="6"/>
      <c r="F75" s="7"/>
      <c r="G75" s="6"/>
      <c r="H75" s="6"/>
      <c r="I75" s="8">
        <f t="shared" si="1"/>
        <v>12</v>
      </c>
      <c r="J75" s="8" t="str">
        <f>IF(C75="","",IFERROR(CHOOSE(MATCH(C75,{"AC","AL","AM","AP","BA","CE","DF","ES","GO","MA","MT","MS","MG","PA","PB","PR","PE","PI","RN","RS","RO","RR","SC","SP","SE","TO"},0),19,20,20,18,20.5,20,20,17,19,23,17,17,18,19,20,19.5,20.5,22.5,20,17,19.5,20,17,18,20,20),"?"))</f>
        <v/>
      </c>
      <c r="K75" s="9"/>
    </row>
    <row r="76" spans="1:11" x14ac:dyDescent="0.25">
      <c r="A76" s="5" t="s">
        <v>173</v>
      </c>
      <c r="B76" s="5" t="s">
        <v>174</v>
      </c>
      <c r="C76" s="6"/>
      <c r="D76" s="6"/>
      <c r="E76" s="6"/>
      <c r="F76" s="7"/>
      <c r="G76" s="6"/>
      <c r="H76" s="6"/>
      <c r="I76" s="8">
        <f t="shared" si="1"/>
        <v>12</v>
      </c>
      <c r="J76" s="8" t="str">
        <f>IF(C76="","",IFERROR(CHOOSE(MATCH(C76,{"AC","AL","AM","AP","BA","CE","DF","ES","GO","MA","MT","MS","MG","PA","PB","PR","PE","PI","RN","RS","RO","RR","SC","SP","SE","TO"},0),19,20,20,18,20.5,20,20,17,19,23,17,17,18,19,20,19.5,20.5,22.5,20,17,19.5,20,17,18,20,20),"?"))</f>
        <v/>
      </c>
      <c r="K76" s="5"/>
    </row>
    <row r="77" spans="1:11" x14ac:dyDescent="0.25">
      <c r="A77" s="9" t="s">
        <v>175</v>
      </c>
      <c r="B77" s="9" t="s">
        <v>176</v>
      </c>
      <c r="C77" s="6"/>
      <c r="D77" s="6"/>
      <c r="E77" s="6"/>
      <c r="F77" s="7"/>
      <c r="G77" s="6"/>
      <c r="H77" s="6"/>
      <c r="I77" s="8">
        <f t="shared" si="1"/>
        <v>12</v>
      </c>
      <c r="J77" s="8" t="str">
        <f>IF(C77="","",IFERROR(CHOOSE(MATCH(C77,{"AC","AL","AM","AP","BA","CE","DF","ES","GO","MA","MT","MS","MG","PA","PB","PR","PE","PI","RN","RS","RO","RR","SC","SP","SE","TO"},0),19,20,20,18,20.5,20,20,17,19,23,17,17,18,19,20,19.5,20.5,22.5,20,17,19.5,20,17,18,20,20),"?"))</f>
        <v/>
      </c>
      <c r="K77" s="9"/>
    </row>
    <row r="78" spans="1:11" x14ac:dyDescent="0.25">
      <c r="A78" s="5" t="s">
        <v>177</v>
      </c>
      <c r="B78" s="5" t="s">
        <v>178</v>
      </c>
      <c r="C78" s="6"/>
      <c r="D78" s="6"/>
      <c r="E78" s="6"/>
      <c r="F78" s="7"/>
      <c r="G78" s="6"/>
      <c r="H78" s="6"/>
      <c r="I78" s="8">
        <f t="shared" si="1"/>
        <v>12</v>
      </c>
      <c r="J78" s="8" t="str">
        <f>IF(C78="","",IFERROR(CHOOSE(MATCH(C78,{"AC","AL","AM","AP","BA","CE","DF","ES","GO","MA","MT","MS","MG","PA","PB","PR","PE","PI","RN","RS","RO","RR","SC","SP","SE","TO"},0),19,20,20,18,20.5,20,20,17,19,23,17,17,18,19,20,19.5,20.5,22.5,20,17,19.5,20,17,18,20,20),"?"))</f>
        <v/>
      </c>
      <c r="K78" s="5"/>
    </row>
    <row r="79" spans="1:11" x14ac:dyDescent="0.25">
      <c r="A79" s="9" t="s">
        <v>179</v>
      </c>
      <c r="B79" s="9" t="s">
        <v>180</v>
      </c>
      <c r="C79" s="6"/>
      <c r="D79" s="6"/>
      <c r="E79" s="6"/>
      <c r="F79" s="7"/>
      <c r="G79" s="6"/>
      <c r="H79" s="6"/>
      <c r="I79" s="8">
        <f t="shared" si="1"/>
        <v>12</v>
      </c>
      <c r="J79" s="8" t="str">
        <f>IF(C79="","",IFERROR(CHOOSE(MATCH(C79,{"AC","AL","AM","AP","BA","CE","DF","ES","GO","MA","MT","MS","MG","PA","PB","PR","PE","PI","RN","RS","RO","RR","SC","SP","SE","TO"},0),19,20,20,18,20.5,20,20,17,19,23,17,17,18,19,20,19.5,20.5,22.5,20,17,19.5,20,17,18,20,20),"?"))</f>
        <v/>
      </c>
      <c r="K79" s="9"/>
    </row>
    <row r="80" spans="1:11" x14ac:dyDescent="0.25">
      <c r="A80" s="5" t="s">
        <v>181</v>
      </c>
      <c r="B80" s="5" t="s">
        <v>182</v>
      </c>
      <c r="C80" s="6"/>
      <c r="D80" s="6"/>
      <c r="E80" s="6"/>
      <c r="F80" s="7"/>
      <c r="G80" s="6"/>
      <c r="H80" s="6"/>
      <c r="I80" s="8">
        <f t="shared" si="1"/>
        <v>12</v>
      </c>
      <c r="J80" s="8" t="str">
        <f>IF(C80="","",IFERROR(CHOOSE(MATCH(C80,{"AC","AL","AM","AP","BA","CE","DF","ES","GO","MA","MT","MS","MG","PA","PB","PR","PE","PI","RN","RS","RO","RR","SC","SP","SE","TO"},0),19,20,20,18,20.5,20,20,17,19,23,17,17,18,19,20,19.5,20.5,22.5,20,17,19.5,20,17,18,20,20),"?"))</f>
        <v/>
      </c>
      <c r="K80" s="5"/>
    </row>
    <row r="81" spans="1:11" x14ac:dyDescent="0.25">
      <c r="A81" s="9" t="s">
        <v>183</v>
      </c>
      <c r="B81" s="9" t="s">
        <v>184</v>
      </c>
      <c r="C81" s="6"/>
      <c r="D81" s="6"/>
      <c r="E81" s="6"/>
      <c r="F81" s="7"/>
      <c r="G81" s="6"/>
      <c r="H81" s="6"/>
      <c r="I81" s="8">
        <f t="shared" si="1"/>
        <v>12</v>
      </c>
      <c r="J81" s="8" t="str">
        <f>IF(C81="","",IFERROR(CHOOSE(MATCH(C81,{"AC","AL","AM","AP","BA","CE","DF","ES","GO","MA","MT","MS","MG","PA","PB","PR","PE","PI","RN","RS","RO","RR","SC","SP","SE","TO"},0),19,20,20,18,20.5,20,20,17,19,23,17,17,18,19,20,19.5,20.5,22.5,20,17,19.5,20,17,18,20,20),"?"))</f>
        <v/>
      </c>
      <c r="K81" s="9"/>
    </row>
    <row r="82" spans="1:11" x14ac:dyDescent="0.25">
      <c r="A82" s="5" t="s">
        <v>185</v>
      </c>
      <c r="B82" s="5" t="s">
        <v>186</v>
      </c>
      <c r="C82" s="6"/>
      <c r="D82" s="6"/>
      <c r="E82" s="6"/>
      <c r="F82" s="7"/>
      <c r="G82" s="6"/>
      <c r="H82" s="6"/>
      <c r="I82" s="8">
        <f t="shared" si="1"/>
        <v>12</v>
      </c>
      <c r="J82" s="8" t="str">
        <f>IF(C82="","",IFERROR(CHOOSE(MATCH(C82,{"AC","AL","AM","AP","BA","CE","DF","ES","GO","MA","MT","MS","MG","PA","PB","PR","PE","PI","RN","RS","RO","RR","SC","SP","SE","TO"},0),19,20,20,18,20.5,20,20,17,19,23,17,17,18,19,20,19.5,20.5,22.5,20,17,19.5,20,17,18,20,20),"?"))</f>
        <v/>
      </c>
      <c r="K82" s="5"/>
    </row>
    <row r="83" spans="1:11" x14ac:dyDescent="0.25">
      <c r="A83" s="9" t="s">
        <v>187</v>
      </c>
      <c r="B83" s="9" t="s">
        <v>188</v>
      </c>
      <c r="C83" s="6"/>
      <c r="D83" s="6"/>
      <c r="E83" s="6"/>
      <c r="F83" s="7"/>
      <c r="G83" s="6"/>
      <c r="H83" s="6"/>
      <c r="I83" s="8">
        <f t="shared" si="1"/>
        <v>12</v>
      </c>
      <c r="J83" s="8" t="str">
        <f>IF(C83="","",IFERROR(CHOOSE(MATCH(C83,{"AC","AL","AM","AP","BA","CE","DF","ES","GO","MA","MT","MS","MG","PA","PB","PR","PE","PI","RN","RS","RO","RR","SC","SP","SE","TO"},0),19,20,20,18,20.5,20,20,17,19,23,17,17,18,19,20,19.5,20.5,22.5,20,17,19.5,20,17,18,20,20),"?"))</f>
        <v/>
      </c>
      <c r="K83" s="9"/>
    </row>
    <row r="84" spans="1:11" x14ac:dyDescent="0.25">
      <c r="A84" s="5" t="s">
        <v>189</v>
      </c>
      <c r="B84" s="5" t="s">
        <v>190</v>
      </c>
      <c r="C84" s="6"/>
      <c r="D84" s="6"/>
      <c r="E84" s="6"/>
      <c r="F84" s="7"/>
      <c r="G84" s="6"/>
      <c r="H84" s="6"/>
      <c r="I84" s="8">
        <f t="shared" si="1"/>
        <v>12</v>
      </c>
      <c r="J84" s="8" t="str">
        <f>IF(C84="","",IFERROR(CHOOSE(MATCH(C84,{"AC","AL","AM","AP","BA","CE","DF","ES","GO","MA","MT","MS","MG","PA","PB","PR","PE","PI","RN","RS","RO","RR","SC","SP","SE","TO"},0),19,20,20,18,20.5,20,20,17,19,23,17,17,18,19,20,19.5,20.5,22.5,20,17,19.5,20,17,18,20,20),"?"))</f>
        <v/>
      </c>
      <c r="K84" s="5"/>
    </row>
    <row r="85" spans="1:11" x14ac:dyDescent="0.25">
      <c r="A85" s="9" t="s">
        <v>191</v>
      </c>
      <c r="B85" s="9" t="s">
        <v>192</v>
      </c>
      <c r="C85" s="6"/>
      <c r="D85" s="6"/>
      <c r="E85" s="6"/>
      <c r="F85" s="7"/>
      <c r="G85" s="6"/>
      <c r="H85" s="6"/>
      <c r="I85" s="8">
        <f t="shared" si="1"/>
        <v>12</v>
      </c>
      <c r="J85" s="8" t="str">
        <f>IF(C85="","",IFERROR(CHOOSE(MATCH(C85,{"AC","AL","AM","AP","BA","CE","DF","ES","GO","MA","MT","MS","MG","PA","PB","PR","PE","PI","RN","RS","RO","RR","SC","SP","SE","TO"},0),19,20,20,18,20.5,20,20,17,19,23,17,17,18,19,20,19.5,20.5,22.5,20,17,19.5,20,17,18,20,20),"?"))</f>
        <v/>
      </c>
      <c r="K85" s="9"/>
    </row>
    <row r="86" spans="1:11" x14ac:dyDescent="0.25">
      <c r="A86" s="5" t="s">
        <v>193</v>
      </c>
      <c r="B86" s="5" t="s">
        <v>194</v>
      </c>
      <c r="C86" s="6"/>
      <c r="D86" s="6"/>
      <c r="E86" s="6"/>
      <c r="F86" s="7"/>
      <c r="G86" s="6"/>
      <c r="H86" s="6"/>
      <c r="I86" s="8">
        <f t="shared" si="1"/>
        <v>12</v>
      </c>
      <c r="J86" s="8" t="str">
        <f>IF(C86="","",IFERROR(CHOOSE(MATCH(C86,{"AC","AL","AM","AP","BA","CE","DF","ES","GO","MA","MT","MS","MG","PA","PB","PR","PE","PI","RN","RS","RO","RR","SC","SP","SE","TO"},0),19,20,20,18,20.5,20,20,17,19,23,17,17,18,19,20,19.5,20.5,22.5,20,17,19.5,20,17,18,20,20),"?"))</f>
        <v/>
      </c>
      <c r="K86" s="5"/>
    </row>
    <row r="87" spans="1:11" x14ac:dyDescent="0.25">
      <c r="A87" s="9" t="s">
        <v>195</v>
      </c>
      <c r="B87" s="9" t="s">
        <v>196</v>
      </c>
      <c r="C87" s="6"/>
      <c r="D87" s="6"/>
      <c r="E87" s="6"/>
      <c r="F87" s="7"/>
      <c r="G87" s="6"/>
      <c r="H87" s="6"/>
      <c r="I87" s="8">
        <f t="shared" si="1"/>
        <v>12</v>
      </c>
      <c r="J87" s="8" t="str">
        <f>IF(C87="","",IFERROR(CHOOSE(MATCH(C87,{"AC","AL","AM","AP","BA","CE","DF","ES","GO","MA","MT","MS","MG","PA","PB","PR","PE","PI","RN","RS","RO","RR","SC","SP","SE","TO"},0),19,20,20,18,20.5,20,20,17,19,23,17,17,18,19,20,19.5,20.5,22.5,20,17,19.5,20,17,18,20,20),"?"))</f>
        <v/>
      </c>
      <c r="K87" s="9"/>
    </row>
    <row r="88" spans="1:11" x14ac:dyDescent="0.25">
      <c r="A88" s="5" t="s">
        <v>197</v>
      </c>
      <c r="B88" s="5" t="s">
        <v>198</v>
      </c>
      <c r="C88" s="6"/>
      <c r="D88" s="6"/>
      <c r="E88" s="6"/>
      <c r="F88" s="7"/>
      <c r="G88" s="6"/>
      <c r="H88" s="6"/>
      <c r="I88" s="8">
        <f t="shared" si="1"/>
        <v>12</v>
      </c>
      <c r="J88" s="8" t="str">
        <f>IF(C88="","",IFERROR(CHOOSE(MATCH(C88,{"AC","AL","AM","AP","BA","CE","DF","ES","GO","MA","MT","MS","MG","PA","PB","PR","PE","PI","RN","RS","RO","RR","SC","SP","SE","TO"},0),19,20,20,18,20.5,20,20,17,19,23,17,17,18,19,20,19.5,20.5,22.5,20,17,19.5,20,17,18,20,20),"?"))</f>
        <v/>
      </c>
      <c r="K88" s="5"/>
    </row>
    <row r="89" spans="1:11" x14ac:dyDescent="0.25">
      <c r="A89" s="9" t="s">
        <v>199</v>
      </c>
      <c r="B89" s="9" t="s">
        <v>200</v>
      </c>
      <c r="C89" s="6"/>
      <c r="D89" s="6"/>
      <c r="E89" s="6"/>
      <c r="F89" s="7"/>
      <c r="G89" s="6"/>
      <c r="H89" s="6"/>
      <c r="I89" s="8">
        <f t="shared" si="1"/>
        <v>12</v>
      </c>
      <c r="J89" s="8" t="str">
        <f>IF(C89="","",IFERROR(CHOOSE(MATCH(C89,{"AC","AL","AM","AP","BA","CE","DF","ES","GO","MA","MT","MS","MG","PA","PB","PR","PE","PI","RN","RS","RO","RR","SC","SP","SE","TO"},0),19,20,20,18,20.5,20,20,17,19,23,17,17,18,19,20,19.5,20.5,22.5,20,17,19.5,20,17,18,20,20),"?"))</f>
        <v/>
      </c>
      <c r="K89" s="9"/>
    </row>
    <row r="90" spans="1:11" x14ac:dyDescent="0.25">
      <c r="A90" s="5" t="s">
        <v>201</v>
      </c>
      <c r="B90" s="5" t="s">
        <v>202</v>
      </c>
      <c r="C90" s="6"/>
      <c r="D90" s="6"/>
      <c r="E90" s="6"/>
      <c r="F90" s="7"/>
      <c r="G90" s="6"/>
      <c r="H90" s="6"/>
      <c r="I90" s="8">
        <f t="shared" si="1"/>
        <v>12</v>
      </c>
      <c r="J90" s="8" t="str">
        <f>IF(C90="","",IFERROR(CHOOSE(MATCH(C90,{"AC","AL","AM","AP","BA","CE","DF","ES","GO","MA","MT","MS","MG","PA","PB","PR","PE","PI","RN","RS","RO","RR","SC","SP","SE","TO"},0),19,20,20,18,20.5,20,20,17,19,23,17,17,18,19,20,19.5,20.5,22.5,20,17,19.5,20,17,18,20,20),"?"))</f>
        <v/>
      </c>
      <c r="K90" s="5"/>
    </row>
    <row r="91" spans="1:11" x14ac:dyDescent="0.25">
      <c r="A91" s="9" t="s">
        <v>203</v>
      </c>
      <c r="B91" s="9" t="s">
        <v>204</v>
      </c>
      <c r="C91" s="6"/>
      <c r="D91" s="6"/>
      <c r="E91" s="6"/>
      <c r="F91" s="7"/>
      <c r="G91" s="6"/>
      <c r="H91" s="6"/>
      <c r="I91" s="8">
        <f t="shared" si="1"/>
        <v>12</v>
      </c>
      <c r="J91" s="8" t="str">
        <f>IF(C91="","",IFERROR(CHOOSE(MATCH(C91,{"AC","AL","AM","AP","BA","CE","DF","ES","GO","MA","MT","MS","MG","PA","PB","PR","PE","PI","RN","RS","RO","RR","SC","SP","SE","TO"},0),19,20,20,18,20.5,20,20,17,19,23,17,17,18,19,20,19.5,20.5,22.5,20,17,19.5,20,17,18,20,20),"?"))</f>
        <v/>
      </c>
      <c r="K91" s="9"/>
    </row>
    <row r="92" spans="1:11" x14ac:dyDescent="0.25">
      <c r="A92" s="5" t="s">
        <v>205</v>
      </c>
      <c r="B92" s="5" t="s">
        <v>206</v>
      </c>
      <c r="C92" s="6"/>
      <c r="D92" s="6"/>
      <c r="E92" s="6"/>
      <c r="F92" s="7"/>
      <c r="G92" s="6"/>
      <c r="H92" s="6"/>
      <c r="I92" s="8">
        <f t="shared" si="1"/>
        <v>12</v>
      </c>
      <c r="J92" s="8" t="str">
        <f>IF(C92="","",IFERROR(CHOOSE(MATCH(C92,{"AC","AL","AM","AP","BA","CE","DF","ES","GO","MA","MT","MS","MG","PA","PB","PR","PE","PI","RN","RS","RO","RR","SC","SP","SE","TO"},0),19,20,20,18,20.5,20,20,17,19,23,17,17,18,19,20,19.5,20.5,22.5,20,17,19.5,20,17,18,20,20),"?"))</f>
        <v/>
      </c>
      <c r="K92" s="5"/>
    </row>
    <row r="93" spans="1:11" x14ac:dyDescent="0.25">
      <c r="A93" s="9" t="s">
        <v>207</v>
      </c>
      <c r="B93" s="9" t="s">
        <v>208</v>
      </c>
      <c r="C93" s="6"/>
      <c r="D93" s="6"/>
      <c r="E93" s="6"/>
      <c r="F93" s="7"/>
      <c r="G93" s="6"/>
      <c r="H93" s="6"/>
      <c r="I93" s="8">
        <f t="shared" si="1"/>
        <v>12</v>
      </c>
      <c r="J93" s="8" t="str">
        <f>IF(C93="","",IFERROR(CHOOSE(MATCH(C93,{"AC","AL","AM","AP","BA","CE","DF","ES","GO","MA","MT","MS","MG","PA","PB","PR","PE","PI","RN","RS","RO","RR","SC","SP","SE","TO"},0),19,20,20,18,20.5,20,20,17,19,23,17,17,18,19,20,19.5,20.5,22.5,20,17,19.5,20,17,18,20,20),"?"))</f>
        <v/>
      </c>
      <c r="K93" s="9"/>
    </row>
    <row r="94" spans="1:11" x14ac:dyDescent="0.25">
      <c r="A94" s="5" t="s">
        <v>209</v>
      </c>
      <c r="B94" s="5" t="s">
        <v>210</v>
      </c>
      <c r="C94" s="6"/>
      <c r="D94" s="6"/>
      <c r="E94" s="6"/>
      <c r="F94" s="7"/>
      <c r="G94" s="6"/>
      <c r="H94" s="6"/>
      <c r="I94" s="8">
        <f t="shared" si="1"/>
        <v>12</v>
      </c>
      <c r="J94" s="8" t="str">
        <f>IF(C94="","",IFERROR(CHOOSE(MATCH(C94,{"AC","AL","AM","AP","BA","CE","DF","ES","GO","MA","MT","MS","MG","PA","PB","PR","PE","PI","RN","RS","RO","RR","SC","SP","SE","TO"},0),19,20,20,18,20.5,20,20,17,19,23,17,17,18,19,20,19.5,20.5,22.5,20,17,19.5,20,17,18,20,20),"?"))</f>
        <v/>
      </c>
      <c r="K94" s="5"/>
    </row>
    <row r="95" spans="1:11" x14ac:dyDescent="0.25">
      <c r="A95" s="9" t="s">
        <v>211</v>
      </c>
      <c r="B95" s="9" t="s">
        <v>212</v>
      </c>
      <c r="C95" s="6"/>
      <c r="D95" s="6"/>
      <c r="E95" s="6"/>
      <c r="F95" s="7"/>
      <c r="G95" s="6"/>
      <c r="H95" s="6"/>
      <c r="I95" s="8">
        <f t="shared" si="1"/>
        <v>12</v>
      </c>
      <c r="J95" s="8" t="str">
        <f>IF(C95="","",IFERROR(CHOOSE(MATCH(C95,{"AC","AL","AM","AP","BA","CE","DF","ES","GO","MA","MT","MS","MG","PA","PB","PR","PE","PI","RN","RS","RO","RR","SC","SP","SE","TO"},0),19,20,20,18,20.5,20,20,17,19,23,17,17,18,19,20,19.5,20.5,22.5,20,17,19.5,20,17,18,20,20),"?"))</f>
        <v/>
      </c>
      <c r="K95" s="9"/>
    </row>
    <row r="96" spans="1:11" x14ac:dyDescent="0.25">
      <c r="A96" s="5" t="s">
        <v>213</v>
      </c>
      <c r="B96" s="5" t="s">
        <v>214</v>
      </c>
      <c r="C96" s="6"/>
      <c r="D96" s="6"/>
      <c r="E96" s="6"/>
      <c r="F96" s="7"/>
      <c r="G96" s="6"/>
      <c r="H96" s="6"/>
      <c r="I96" s="8">
        <f t="shared" si="1"/>
        <v>12</v>
      </c>
      <c r="J96" s="8" t="str">
        <f>IF(C96="","",IFERROR(CHOOSE(MATCH(C96,{"AC","AL","AM","AP","BA","CE","DF","ES","GO","MA","MT","MS","MG","PA","PB","PR","PE","PI","RN","RS","RO","RR","SC","SP","SE","TO"},0),19,20,20,18,20.5,20,20,17,19,23,17,17,18,19,20,19.5,20.5,22.5,20,17,19.5,20,17,18,20,20),"?"))</f>
        <v/>
      </c>
      <c r="K96" s="5"/>
    </row>
    <row r="97" spans="1:11" x14ac:dyDescent="0.25">
      <c r="A97" s="9" t="s">
        <v>215</v>
      </c>
      <c r="B97" s="9" t="s">
        <v>216</v>
      </c>
      <c r="C97" s="6"/>
      <c r="D97" s="6"/>
      <c r="E97" s="6"/>
      <c r="F97" s="7"/>
      <c r="G97" s="6"/>
      <c r="H97" s="6"/>
      <c r="I97" s="8">
        <f t="shared" si="1"/>
        <v>12</v>
      </c>
      <c r="J97" s="8" t="str">
        <f>IF(C97="","",IFERROR(CHOOSE(MATCH(C97,{"AC","AL","AM","AP","BA","CE","DF","ES","GO","MA","MT","MS","MG","PA","PB","PR","PE","PI","RN","RS","RO","RR","SC","SP","SE","TO"},0),19,20,20,18,20.5,20,20,17,19,23,17,17,18,19,20,19.5,20.5,22.5,20,17,19.5,20,17,18,20,20),"?"))</f>
        <v/>
      </c>
      <c r="K97" s="9"/>
    </row>
    <row r="98" spans="1:11" x14ac:dyDescent="0.25">
      <c r="A98" s="5" t="s">
        <v>217</v>
      </c>
      <c r="B98" s="5" t="s">
        <v>218</v>
      </c>
      <c r="C98" s="6"/>
      <c r="D98" s="6"/>
      <c r="E98" s="6"/>
      <c r="F98" s="7"/>
      <c r="G98" s="6"/>
      <c r="H98" s="6"/>
      <c r="I98" s="8">
        <f t="shared" si="1"/>
        <v>12</v>
      </c>
      <c r="J98" s="8" t="str">
        <f>IF(C98="","",IFERROR(CHOOSE(MATCH(C98,{"AC","AL","AM","AP","BA","CE","DF","ES","GO","MA","MT","MS","MG","PA","PB","PR","PE","PI","RN","RS","RO","RR","SC","SP","SE","TO"},0),19,20,20,18,20.5,20,20,17,19,23,17,17,18,19,20,19.5,20.5,22.5,20,17,19.5,20,17,18,20,20),"?"))</f>
        <v/>
      </c>
      <c r="K98" s="5"/>
    </row>
    <row r="99" spans="1:11" x14ac:dyDescent="0.25">
      <c r="A99" s="9" t="s">
        <v>219</v>
      </c>
      <c r="B99" s="9" t="s">
        <v>220</v>
      </c>
      <c r="C99" s="6"/>
      <c r="D99" s="6"/>
      <c r="E99" s="6"/>
      <c r="F99" s="7"/>
      <c r="G99" s="6"/>
      <c r="H99" s="6"/>
      <c r="I99" s="8">
        <f t="shared" si="1"/>
        <v>12</v>
      </c>
      <c r="J99" s="8" t="str">
        <f>IF(C99="","",IFERROR(CHOOSE(MATCH(C99,{"AC","AL","AM","AP","BA","CE","DF","ES","GO","MA","MT","MS","MG","PA","PB","PR","PE","PI","RN","RS","RO","RR","SC","SP","SE","TO"},0),19,20,20,18,20.5,20,20,17,19,23,17,17,18,19,20,19.5,20.5,22.5,20,17,19.5,20,17,18,20,20),"?"))</f>
        <v/>
      </c>
      <c r="K99" s="9"/>
    </row>
    <row r="100" spans="1:11" x14ac:dyDescent="0.25">
      <c r="A100" s="5" t="s">
        <v>221</v>
      </c>
      <c r="B100" s="5" t="s">
        <v>222</v>
      </c>
      <c r="C100" s="6"/>
      <c r="D100" s="6"/>
      <c r="E100" s="6"/>
      <c r="F100" s="7"/>
      <c r="G100" s="6"/>
      <c r="H100" s="6"/>
      <c r="I100" s="8">
        <f t="shared" si="1"/>
        <v>12</v>
      </c>
      <c r="J100" s="8" t="str">
        <f>IF(C100="","",IFERROR(CHOOSE(MATCH(C100,{"AC","AL","AM","AP","BA","CE","DF","ES","GO","MA","MT","MS","MG","PA","PB","PR","PE","PI","RN","RS","RO","RR","SC","SP","SE","TO"},0),19,20,20,18,20.5,20,20,17,19,23,17,17,18,19,20,19.5,20.5,22.5,20,17,19.5,20,17,18,20,20),"?"))</f>
        <v/>
      </c>
      <c r="K100" s="5"/>
    </row>
    <row r="101" spans="1:11" x14ac:dyDescent="0.25">
      <c r="A101" s="9" t="s">
        <v>223</v>
      </c>
      <c r="B101" s="9" t="s">
        <v>224</v>
      </c>
      <c r="C101" s="6"/>
      <c r="D101" s="6"/>
      <c r="E101" s="6"/>
      <c r="F101" s="7"/>
      <c r="G101" s="6"/>
      <c r="H101" s="6"/>
      <c r="I101" s="8">
        <f t="shared" si="1"/>
        <v>12</v>
      </c>
      <c r="J101" s="8" t="str">
        <f>IF(C101="","",IFERROR(CHOOSE(MATCH(C101,{"AC","AL","AM","AP","BA","CE","DF","ES","GO","MA","MT","MS","MG","PA","PB","PR","PE","PI","RN","RS","RO","RR","SC","SP","SE","TO"},0),19,20,20,18,20.5,20,20,17,19,23,17,17,18,19,20,19.5,20.5,22.5,20,17,19.5,20,17,18,20,20),"?"))</f>
        <v/>
      </c>
      <c r="K101" s="9"/>
    </row>
    <row r="102" spans="1:11" x14ac:dyDescent="0.25">
      <c r="A102" s="5" t="s">
        <v>225</v>
      </c>
      <c r="B102" s="5" t="s">
        <v>226</v>
      </c>
      <c r="C102" s="6"/>
      <c r="D102" s="6"/>
      <c r="E102" s="6"/>
      <c r="F102" s="7"/>
      <c r="G102" s="6"/>
      <c r="H102" s="6"/>
      <c r="I102" s="8">
        <f t="shared" si="1"/>
        <v>12</v>
      </c>
      <c r="J102" s="8" t="str">
        <f>IF(C102="","",IFERROR(CHOOSE(MATCH(C102,{"AC","AL","AM","AP","BA","CE","DF","ES","GO","MA","MT","MS","MG","PA","PB","PR","PE","PI","RN","RS","RO","RR","SC","SP","SE","TO"},0),19,20,20,18,20.5,20,20,17,19,23,17,17,18,19,20,19.5,20.5,22.5,20,17,19.5,20,17,18,20,20),"?"))</f>
        <v/>
      </c>
      <c r="K102" s="5"/>
    </row>
    <row r="103" spans="1:11" x14ac:dyDescent="0.25">
      <c r="A103" s="9" t="s">
        <v>227</v>
      </c>
      <c r="B103" s="9" t="s">
        <v>226</v>
      </c>
      <c r="C103" s="6"/>
      <c r="D103" s="6"/>
      <c r="E103" s="6"/>
      <c r="F103" s="7"/>
      <c r="G103" s="6"/>
      <c r="H103" s="6"/>
      <c r="I103" s="8">
        <f t="shared" si="1"/>
        <v>12</v>
      </c>
      <c r="J103" s="8" t="str">
        <f>IF(C103="","",IFERROR(CHOOSE(MATCH(C103,{"AC","AL","AM","AP","BA","CE","DF","ES","GO","MA","MT","MS","MG","PA","PB","PR","PE","PI","RN","RS","RO","RR","SC","SP","SE","TO"},0),19,20,20,18,20.5,20,20,17,19,23,17,17,18,19,20,19.5,20.5,22.5,20,17,19.5,20,17,18,20,20),"?"))</f>
        <v/>
      </c>
      <c r="K103" s="9"/>
    </row>
    <row r="104" spans="1:11" x14ac:dyDescent="0.25">
      <c r="A104" s="5" t="s">
        <v>228</v>
      </c>
      <c r="B104" s="5" t="s">
        <v>229</v>
      </c>
      <c r="C104" s="6"/>
      <c r="D104" s="6"/>
      <c r="E104" s="6"/>
      <c r="F104" s="7"/>
      <c r="G104" s="6"/>
      <c r="H104" s="6"/>
      <c r="I104" s="8">
        <f t="shared" si="1"/>
        <v>12</v>
      </c>
      <c r="J104" s="8" t="str">
        <f>IF(C104="","",IFERROR(CHOOSE(MATCH(C104,{"AC","AL","AM","AP","BA","CE","DF","ES","GO","MA","MT","MS","MG","PA","PB","PR","PE","PI","RN","RS","RO","RR","SC","SP","SE","TO"},0),19,20,20,18,20.5,20,20,17,19,23,17,17,18,19,20,19.5,20.5,22.5,20,17,19.5,20,17,18,20,20),"?"))</f>
        <v/>
      </c>
      <c r="K104" s="5"/>
    </row>
    <row r="105" spans="1:11" x14ac:dyDescent="0.25">
      <c r="A105" s="9" t="s">
        <v>230</v>
      </c>
      <c r="B105" s="9" t="s">
        <v>231</v>
      </c>
      <c r="C105" s="6"/>
      <c r="D105" s="6"/>
      <c r="E105" s="6"/>
      <c r="F105" s="7"/>
      <c r="G105" s="6"/>
      <c r="H105" s="6"/>
      <c r="I105" s="8">
        <f t="shared" si="1"/>
        <v>12</v>
      </c>
      <c r="J105" s="8" t="str">
        <f>IF(C105="","",IFERROR(CHOOSE(MATCH(C105,{"AC","AL","AM","AP","BA","CE","DF","ES","GO","MA","MT","MS","MG","PA","PB","PR","PE","PI","RN","RS","RO","RR","SC","SP","SE","TO"},0),19,20,20,18,20.5,20,20,17,19,23,17,17,18,19,20,19.5,20.5,22.5,20,17,19.5,20,17,18,20,20),"?"))</f>
        <v/>
      </c>
      <c r="K105" s="9"/>
    </row>
    <row r="106" spans="1:11" x14ac:dyDescent="0.25">
      <c r="A106" s="5" t="s">
        <v>232</v>
      </c>
      <c r="B106" s="5" t="s">
        <v>229</v>
      </c>
      <c r="C106" s="6"/>
      <c r="D106" s="6"/>
      <c r="E106" s="6"/>
      <c r="F106" s="7"/>
      <c r="G106" s="6"/>
      <c r="H106" s="6"/>
      <c r="I106" s="8">
        <f t="shared" si="1"/>
        <v>12</v>
      </c>
      <c r="J106" s="8" t="str">
        <f>IF(C106="","",IFERROR(CHOOSE(MATCH(C106,{"AC","AL","AM","AP","BA","CE","DF","ES","GO","MA","MT","MS","MG","PA","PB","PR","PE","PI","RN","RS","RO","RR","SC","SP","SE","TO"},0),19,20,20,18,20.5,20,20,17,19,23,17,17,18,19,20,19.5,20.5,22.5,20,17,19.5,20,17,18,20,20),"?"))</f>
        <v/>
      </c>
      <c r="K106" s="5"/>
    </row>
    <row r="107" spans="1:11" x14ac:dyDescent="0.25">
      <c r="A107" s="9" t="s">
        <v>233</v>
      </c>
      <c r="B107" s="9" t="s">
        <v>234</v>
      </c>
      <c r="C107" s="6"/>
      <c r="D107" s="6"/>
      <c r="E107" s="6"/>
      <c r="F107" s="7"/>
      <c r="G107" s="6"/>
      <c r="H107" s="6"/>
      <c r="I107" s="8">
        <f t="shared" si="1"/>
        <v>12</v>
      </c>
      <c r="J107" s="8" t="str">
        <f>IF(C107="","",IFERROR(CHOOSE(MATCH(C107,{"AC","AL","AM","AP","BA","CE","DF","ES","GO","MA","MT","MS","MG","PA","PB","PR","PE","PI","RN","RS","RO","RR","SC","SP","SE","TO"},0),19,20,20,18,20.5,20,20,17,19,23,17,17,18,19,20,19.5,20.5,22.5,20,17,19.5,20,17,18,20,20),"?"))</f>
        <v/>
      </c>
      <c r="K107" s="9"/>
    </row>
    <row r="108" spans="1:11" x14ac:dyDescent="0.25">
      <c r="A108" s="5" t="s">
        <v>235</v>
      </c>
      <c r="B108" s="5" t="s">
        <v>236</v>
      </c>
      <c r="C108" s="6"/>
      <c r="D108" s="6"/>
      <c r="E108" s="6"/>
      <c r="F108" s="7"/>
      <c r="G108" s="6"/>
      <c r="H108" s="6"/>
      <c r="I108" s="8">
        <f t="shared" si="1"/>
        <v>12</v>
      </c>
      <c r="J108" s="8" t="str">
        <f>IF(C108="","",IFERROR(CHOOSE(MATCH(C108,{"AC","AL","AM","AP","BA","CE","DF","ES","GO","MA","MT","MS","MG","PA","PB","PR","PE","PI","RN","RS","RO","RR","SC","SP","SE","TO"},0),19,20,20,18,20.5,20,20,17,19,23,17,17,18,19,20,19.5,20.5,22.5,20,17,19.5,20,17,18,20,20),"?"))</f>
        <v/>
      </c>
      <c r="K108" s="5"/>
    </row>
    <row r="109" spans="1:11" x14ac:dyDescent="0.25">
      <c r="A109" s="9" t="s">
        <v>237</v>
      </c>
      <c r="B109" s="9" t="s">
        <v>238</v>
      </c>
      <c r="C109" s="6"/>
      <c r="D109" s="6"/>
      <c r="E109" s="6"/>
      <c r="F109" s="7"/>
      <c r="G109" s="6"/>
      <c r="H109" s="6"/>
      <c r="I109" s="8">
        <f t="shared" si="1"/>
        <v>12</v>
      </c>
      <c r="J109" s="8" t="str">
        <f>IF(C109="","",IFERROR(CHOOSE(MATCH(C109,{"AC","AL","AM","AP","BA","CE","DF","ES","GO","MA","MT","MS","MG","PA","PB","PR","PE","PI","RN","RS","RO","RR","SC","SP","SE","TO"},0),19,20,20,18,20.5,20,20,17,19,23,17,17,18,19,20,19.5,20.5,22.5,20,17,19.5,20,17,18,20,20),"?"))</f>
        <v/>
      </c>
      <c r="K109" s="9"/>
    </row>
    <row r="110" spans="1:11" x14ac:dyDescent="0.25">
      <c r="A110" s="5" t="s">
        <v>237</v>
      </c>
      <c r="B110" s="5" t="s">
        <v>239</v>
      </c>
      <c r="C110" s="6"/>
      <c r="D110" s="6"/>
      <c r="E110" s="6"/>
      <c r="F110" s="7"/>
      <c r="G110" s="6"/>
      <c r="H110" s="6"/>
      <c r="I110" s="8">
        <f t="shared" si="1"/>
        <v>12</v>
      </c>
      <c r="J110" s="8" t="str">
        <f>IF(C110="","",IFERROR(CHOOSE(MATCH(C110,{"AC","AL","AM","AP","BA","CE","DF","ES","GO","MA","MT","MS","MG","PA","PB","PR","PE","PI","RN","RS","RO","RR","SC","SP","SE","TO"},0),19,20,20,18,20.5,20,20,17,19,23,17,17,18,19,20,19.5,20.5,22.5,20,17,19.5,20,17,18,20,20),"?"))</f>
        <v/>
      </c>
      <c r="K110" s="5"/>
    </row>
    <row r="111" spans="1:11" x14ac:dyDescent="0.25">
      <c r="A111" s="9" t="s">
        <v>240</v>
      </c>
      <c r="B111" s="9" t="s">
        <v>241</v>
      </c>
      <c r="C111" s="6"/>
      <c r="D111" s="6"/>
      <c r="E111" s="6"/>
      <c r="F111" s="7"/>
      <c r="G111" s="6"/>
      <c r="H111" s="6"/>
      <c r="I111" s="8">
        <f t="shared" si="1"/>
        <v>12</v>
      </c>
      <c r="J111" s="8" t="str">
        <f>IF(C111="","",IFERROR(CHOOSE(MATCH(C111,{"AC","AL","AM","AP","BA","CE","DF","ES","GO","MA","MT","MS","MG","PA","PB","PR","PE","PI","RN","RS","RO","RR","SC","SP","SE","TO"},0),19,20,20,18,20.5,20,20,17,19,23,17,17,18,19,20,19.5,20.5,22.5,20,17,19.5,20,17,18,20,20),"?"))</f>
        <v/>
      </c>
      <c r="K111" s="9"/>
    </row>
    <row r="112" spans="1:11" x14ac:dyDescent="0.25">
      <c r="A112" s="5" t="s">
        <v>242</v>
      </c>
      <c r="B112" s="5" t="s">
        <v>243</v>
      </c>
      <c r="C112" s="6"/>
      <c r="D112" s="6"/>
      <c r="E112" s="6"/>
      <c r="F112" s="7"/>
      <c r="G112" s="6"/>
      <c r="H112" s="6"/>
      <c r="I112" s="8">
        <f t="shared" si="1"/>
        <v>12</v>
      </c>
      <c r="J112" s="8" t="str">
        <f>IF(C112="","",IFERROR(CHOOSE(MATCH(C112,{"AC","AL","AM","AP","BA","CE","DF","ES","GO","MA","MT","MS","MG","PA","PB","PR","PE","PI","RN","RS","RO","RR","SC","SP","SE","TO"},0),19,20,20,18,20.5,20,20,17,19,23,17,17,18,19,20,19.5,20.5,22.5,20,17,19.5,20,17,18,20,20),"?"))</f>
        <v/>
      </c>
      <c r="K112" s="5"/>
    </row>
    <row r="113" spans="1:11" x14ac:dyDescent="0.25">
      <c r="A113" s="9" t="s">
        <v>244</v>
      </c>
      <c r="B113" s="9" t="s">
        <v>243</v>
      </c>
      <c r="C113" s="6"/>
      <c r="D113" s="6"/>
      <c r="E113" s="6"/>
      <c r="F113" s="7"/>
      <c r="G113" s="6"/>
      <c r="H113" s="6"/>
      <c r="I113" s="8">
        <f t="shared" si="1"/>
        <v>12</v>
      </c>
      <c r="J113" s="8" t="str">
        <f>IF(C113="","",IFERROR(CHOOSE(MATCH(C113,{"AC","AL","AM","AP","BA","CE","DF","ES","GO","MA","MT","MS","MG","PA","PB","PR","PE","PI","RN","RS","RO","RR","SC","SP","SE","TO"},0),19,20,20,18,20.5,20,20,17,19,23,17,17,18,19,20,19.5,20.5,22.5,20,17,19.5,20,17,18,20,20),"?"))</f>
        <v/>
      </c>
      <c r="K113" s="9"/>
    </row>
    <row r="114" spans="1:11" x14ac:dyDescent="0.25">
      <c r="A114" s="5" t="s">
        <v>245</v>
      </c>
      <c r="B114" s="5" t="s">
        <v>243</v>
      </c>
      <c r="C114" s="6"/>
      <c r="D114" s="6"/>
      <c r="E114" s="6"/>
      <c r="F114" s="7"/>
      <c r="G114" s="6"/>
      <c r="H114" s="6"/>
      <c r="I114" s="8">
        <f t="shared" si="1"/>
        <v>12</v>
      </c>
      <c r="J114" s="8" t="str">
        <f>IF(C114="","",IFERROR(CHOOSE(MATCH(C114,{"AC","AL","AM","AP","BA","CE","DF","ES","GO","MA","MT","MS","MG","PA","PB","PR","PE","PI","RN","RS","RO","RR","SC","SP","SE","TO"},0),19,20,20,18,20.5,20,20,17,19,23,17,17,18,19,20,19.5,20.5,22.5,20,17,19.5,20,17,18,20,20),"?"))</f>
        <v/>
      </c>
      <c r="K114" s="5"/>
    </row>
    <row r="115" spans="1:11" x14ac:dyDescent="0.25">
      <c r="A115" s="9" t="s">
        <v>246</v>
      </c>
      <c r="B115" s="9" t="s">
        <v>243</v>
      </c>
      <c r="C115" s="6"/>
      <c r="D115" s="6"/>
      <c r="E115" s="6"/>
      <c r="F115" s="7"/>
      <c r="G115" s="6"/>
      <c r="H115" s="6"/>
      <c r="I115" s="8">
        <f t="shared" si="1"/>
        <v>12</v>
      </c>
      <c r="J115" s="8" t="str">
        <f>IF(C115="","",IFERROR(CHOOSE(MATCH(C115,{"AC","AL","AM","AP","BA","CE","DF","ES","GO","MA","MT","MS","MG","PA","PB","PR","PE","PI","RN","RS","RO","RR","SC","SP","SE","TO"},0),19,20,20,18,20.5,20,20,17,19,23,17,17,18,19,20,19.5,20.5,22.5,20,17,19.5,20,17,18,20,20),"?"))</f>
        <v/>
      </c>
      <c r="K115" s="9"/>
    </row>
    <row r="116" spans="1:11" x14ac:dyDescent="0.25">
      <c r="A116" s="5" t="s">
        <v>247</v>
      </c>
      <c r="B116" s="5" t="s">
        <v>248</v>
      </c>
      <c r="C116" s="6"/>
      <c r="D116" s="6"/>
      <c r="E116" s="6"/>
      <c r="F116" s="7"/>
      <c r="G116" s="6"/>
      <c r="H116" s="6"/>
      <c r="I116" s="8">
        <f t="shared" si="1"/>
        <v>12</v>
      </c>
      <c r="J116" s="8" t="str">
        <f>IF(C116="","",IFERROR(CHOOSE(MATCH(C116,{"AC","AL","AM","AP","BA","CE","DF","ES","GO","MA","MT","MS","MG","PA","PB","PR","PE","PI","RN","RS","RO","RR","SC","SP","SE","TO"},0),19,20,20,18,20.5,20,20,17,19,23,17,17,18,19,20,19.5,20.5,22.5,20,17,19.5,20,17,18,20,20),"?"))</f>
        <v/>
      </c>
      <c r="K116" s="5"/>
    </row>
    <row r="117" spans="1:11" x14ac:dyDescent="0.25">
      <c r="A117" s="9" t="s">
        <v>249</v>
      </c>
      <c r="B117" s="9" t="s">
        <v>248</v>
      </c>
      <c r="C117" s="6"/>
      <c r="D117" s="6"/>
      <c r="E117" s="6"/>
      <c r="F117" s="7"/>
      <c r="G117" s="6"/>
      <c r="H117" s="6"/>
      <c r="I117" s="8">
        <f t="shared" si="1"/>
        <v>12</v>
      </c>
      <c r="J117" s="8" t="str">
        <f>IF(C117="","",IFERROR(CHOOSE(MATCH(C117,{"AC","AL","AM","AP","BA","CE","DF","ES","GO","MA","MT","MS","MG","PA","PB","PR","PE","PI","RN","RS","RO","RR","SC","SP","SE","TO"},0),19,20,20,18,20.5,20,20,17,19,23,17,17,18,19,20,19.5,20.5,22.5,20,17,19.5,20,17,18,20,20),"?"))</f>
        <v/>
      </c>
      <c r="K117" s="9"/>
    </row>
    <row r="118" spans="1:11" x14ac:dyDescent="0.25">
      <c r="A118" s="5" t="s">
        <v>250</v>
      </c>
      <c r="B118" s="5" t="s">
        <v>251</v>
      </c>
      <c r="C118" s="6"/>
      <c r="D118" s="6"/>
      <c r="E118" s="6"/>
      <c r="F118" s="7"/>
      <c r="G118" s="6"/>
      <c r="H118" s="6"/>
      <c r="I118" s="8">
        <f t="shared" si="1"/>
        <v>12</v>
      </c>
      <c r="J118" s="8" t="str">
        <f>IF(C118="","",IFERROR(CHOOSE(MATCH(C118,{"AC","AL","AM","AP","BA","CE","DF","ES","GO","MA","MT","MS","MG","PA","PB","PR","PE","PI","RN","RS","RO","RR","SC","SP","SE","TO"},0),19,20,20,18,20.5,20,20,17,19,23,17,17,18,19,20,19.5,20.5,22.5,20,17,19.5,20,17,18,20,20),"?"))</f>
        <v/>
      </c>
      <c r="K118" s="5"/>
    </row>
    <row r="119" spans="1:11" x14ac:dyDescent="0.25">
      <c r="A119" s="9" t="s">
        <v>252</v>
      </c>
      <c r="B119" s="9" t="s">
        <v>253</v>
      </c>
      <c r="C119" s="6"/>
      <c r="D119" s="6"/>
      <c r="E119" s="6"/>
      <c r="F119" s="7"/>
      <c r="G119" s="6"/>
      <c r="H119" s="6"/>
      <c r="I119" s="8">
        <f t="shared" si="1"/>
        <v>12</v>
      </c>
      <c r="J119" s="8" t="str">
        <f>IF(C119="","",IFERROR(CHOOSE(MATCH(C119,{"AC","AL","AM","AP","BA","CE","DF","ES","GO","MA","MT","MS","MG","PA","PB","PR","PE","PI","RN","RS","RO","RR","SC","SP","SE","TO"},0),19,20,20,18,20.5,20,20,17,19,23,17,17,18,19,20,19.5,20.5,22.5,20,17,19.5,20,17,18,20,20),"?"))</f>
        <v/>
      </c>
      <c r="K119" s="9"/>
    </row>
    <row r="120" spans="1:11" x14ac:dyDescent="0.25">
      <c r="A120" s="5" t="s">
        <v>254</v>
      </c>
      <c r="B120" s="5" t="s">
        <v>255</v>
      </c>
      <c r="C120" s="6"/>
      <c r="D120" s="6"/>
      <c r="E120" s="6"/>
      <c r="F120" s="7"/>
      <c r="G120" s="6"/>
      <c r="H120" s="6"/>
      <c r="I120" s="8">
        <f t="shared" si="1"/>
        <v>12</v>
      </c>
      <c r="J120" s="8" t="str">
        <f>IF(C120="","",IFERROR(CHOOSE(MATCH(C120,{"AC","AL","AM","AP","BA","CE","DF","ES","GO","MA","MT","MS","MG","PA","PB","PR","PE","PI","RN","RS","RO","RR","SC","SP","SE","TO"},0),19,20,20,18,20.5,20,20,17,19,23,17,17,18,19,20,19.5,20.5,22.5,20,17,19.5,20,17,18,20,20),"?"))</f>
        <v/>
      </c>
      <c r="K120" s="5"/>
    </row>
    <row r="121" spans="1:11" x14ac:dyDescent="0.25">
      <c r="A121" s="9" t="s">
        <v>256</v>
      </c>
      <c r="B121" s="9" t="s">
        <v>257</v>
      </c>
      <c r="C121" s="6"/>
      <c r="D121" s="6"/>
      <c r="E121" s="6"/>
      <c r="F121" s="7"/>
      <c r="G121" s="6"/>
      <c r="H121" s="6"/>
      <c r="I121" s="8">
        <f t="shared" si="1"/>
        <v>12</v>
      </c>
      <c r="J121" s="8" t="str">
        <f>IF(C121="","",IFERROR(CHOOSE(MATCH(C121,{"AC","AL","AM","AP","BA","CE","DF","ES","GO","MA","MT","MS","MG","PA","PB","PR","PE","PI","RN","RS","RO","RR","SC","SP","SE","TO"},0),19,20,20,18,20.5,20,20,17,19,23,17,17,18,19,20,19.5,20.5,22.5,20,17,19.5,20,17,18,20,20),"?"))</f>
        <v/>
      </c>
      <c r="K121" s="9"/>
    </row>
    <row r="122" spans="1:11" x14ac:dyDescent="0.25">
      <c r="A122" s="5" t="s">
        <v>258</v>
      </c>
      <c r="B122" s="5" t="s">
        <v>259</v>
      </c>
      <c r="C122" s="6"/>
      <c r="D122" s="6"/>
      <c r="E122" s="6"/>
      <c r="F122" s="7"/>
      <c r="G122" s="6"/>
      <c r="H122" s="6"/>
      <c r="I122" s="8">
        <f t="shared" si="1"/>
        <v>12</v>
      </c>
      <c r="J122" s="8" t="str">
        <f>IF(C122="","",IFERROR(CHOOSE(MATCH(C122,{"AC","AL","AM","AP","BA","CE","DF","ES","GO","MA","MT","MS","MG","PA","PB","PR","PE","PI","RN","RS","RO","RR","SC","SP","SE","TO"},0),19,20,20,18,20.5,20,20,17,19,23,17,17,18,19,20,19.5,20.5,22.5,20,17,19.5,20,17,18,20,20),"?"))</f>
        <v/>
      </c>
      <c r="K122" s="5"/>
    </row>
    <row r="123" spans="1:11" x14ac:dyDescent="0.25">
      <c r="A123" s="9" t="s">
        <v>260</v>
      </c>
      <c r="B123" s="9" t="s">
        <v>261</v>
      </c>
      <c r="C123" s="6"/>
      <c r="D123" s="6"/>
      <c r="E123" s="6"/>
      <c r="F123" s="7"/>
      <c r="G123" s="6"/>
      <c r="H123" s="6"/>
      <c r="I123" s="8">
        <f t="shared" si="1"/>
        <v>12</v>
      </c>
      <c r="J123" s="8" t="str">
        <f>IF(C123="","",IFERROR(CHOOSE(MATCH(C123,{"AC","AL","AM","AP","BA","CE","DF","ES","GO","MA","MT","MS","MG","PA","PB","PR","PE","PI","RN","RS","RO","RR","SC","SP","SE","TO"},0),19,20,20,18,20.5,20,20,17,19,23,17,17,18,19,20,19.5,20.5,22.5,20,17,19.5,20,17,18,20,20),"?"))</f>
        <v/>
      </c>
      <c r="K123" s="9"/>
    </row>
    <row r="124" spans="1:11" x14ac:dyDescent="0.25">
      <c r="A124" s="5" t="s">
        <v>262</v>
      </c>
      <c r="B124" s="5" t="s">
        <v>263</v>
      </c>
      <c r="C124" s="6"/>
      <c r="D124" s="6"/>
      <c r="E124" s="6"/>
      <c r="F124" s="7"/>
      <c r="G124" s="6"/>
      <c r="H124" s="6"/>
      <c r="I124" s="8">
        <f t="shared" si="1"/>
        <v>12</v>
      </c>
      <c r="J124" s="8" t="str">
        <f>IF(C124="","",IFERROR(CHOOSE(MATCH(C124,{"AC","AL","AM","AP","BA","CE","DF","ES","GO","MA","MT","MS","MG","PA","PB","PR","PE","PI","RN","RS","RO","RR","SC","SP","SE","TO"},0),19,20,20,18,20.5,20,20,17,19,23,17,17,18,19,20,19.5,20.5,22.5,20,17,19.5,20,17,18,20,20),"?"))</f>
        <v/>
      </c>
      <c r="K124" s="5"/>
    </row>
    <row r="125" spans="1:11" x14ac:dyDescent="0.25">
      <c r="A125" s="9" t="s">
        <v>264</v>
      </c>
      <c r="B125" s="9" t="s">
        <v>265</v>
      </c>
      <c r="C125" s="6"/>
      <c r="D125" s="6"/>
      <c r="E125" s="6"/>
      <c r="F125" s="7"/>
      <c r="G125" s="6"/>
      <c r="H125" s="6"/>
      <c r="I125" s="8">
        <f t="shared" si="1"/>
        <v>12</v>
      </c>
      <c r="J125" s="8" t="str">
        <f>IF(C125="","",IFERROR(CHOOSE(MATCH(C125,{"AC","AL","AM","AP","BA","CE","DF","ES","GO","MA","MT","MS","MG","PA","PB","PR","PE","PI","RN","RS","RO","RR","SC","SP","SE","TO"},0),19,20,20,18,20.5,20,20,17,19,23,17,17,18,19,20,19.5,20.5,22.5,20,17,19.5,20,17,18,20,20),"?"))</f>
        <v/>
      </c>
      <c r="K125" s="9"/>
    </row>
    <row r="126" spans="1:11" x14ac:dyDescent="0.25">
      <c r="A126" s="5" t="s">
        <v>266</v>
      </c>
      <c r="B126" s="5" t="s">
        <v>267</v>
      </c>
      <c r="C126" s="6"/>
      <c r="D126" s="6"/>
      <c r="E126" s="6"/>
      <c r="F126" s="7"/>
      <c r="G126" s="6"/>
      <c r="H126" s="6"/>
      <c r="I126" s="8">
        <f t="shared" si="1"/>
        <v>12</v>
      </c>
      <c r="J126" s="8" t="str">
        <f>IF(C126="","",IFERROR(CHOOSE(MATCH(C126,{"AC","AL","AM","AP","BA","CE","DF","ES","GO","MA","MT","MS","MG","PA","PB","PR","PE","PI","RN","RS","RO","RR","SC","SP","SE","TO"},0),19,20,20,18,20.5,20,20,17,19,23,17,17,18,19,20,19.5,20.5,22.5,20,17,19.5,20,17,18,20,20),"?"))</f>
        <v/>
      </c>
      <c r="K126" s="5"/>
    </row>
    <row r="127" spans="1:11" x14ac:dyDescent="0.25">
      <c r="A127" s="9" t="s">
        <v>268</v>
      </c>
      <c r="B127" s="9" t="s">
        <v>269</v>
      </c>
      <c r="C127" s="6"/>
      <c r="D127" s="6"/>
      <c r="E127" s="6"/>
      <c r="F127" s="7"/>
      <c r="G127" s="6"/>
      <c r="H127" s="6"/>
      <c r="I127" s="8">
        <f t="shared" si="1"/>
        <v>12</v>
      </c>
      <c r="J127" s="8" t="str">
        <f>IF(C127="","",IFERROR(CHOOSE(MATCH(C127,{"AC","AL","AM","AP","BA","CE","DF","ES","GO","MA","MT","MS","MG","PA","PB","PR","PE","PI","RN","RS","RO","RR","SC","SP","SE","TO"},0),19,20,20,18,20.5,20,20,17,19,23,17,17,18,19,20,19.5,20.5,22.5,20,17,19.5,20,17,18,20,20),"?"))</f>
        <v/>
      </c>
      <c r="K127" s="9"/>
    </row>
    <row r="128" spans="1:11" x14ac:dyDescent="0.25">
      <c r="A128" s="5" t="s">
        <v>270</v>
      </c>
      <c r="B128" s="5" t="s">
        <v>271</v>
      </c>
      <c r="C128" s="6"/>
      <c r="D128" s="6"/>
      <c r="E128" s="6"/>
      <c r="F128" s="7"/>
      <c r="G128" s="6"/>
      <c r="H128" s="6"/>
      <c r="I128" s="8">
        <f t="shared" si="1"/>
        <v>12</v>
      </c>
      <c r="J128" s="8" t="str">
        <f>IF(C128="","",IFERROR(CHOOSE(MATCH(C128,{"AC","AL","AM","AP","BA","CE","DF","ES","GO","MA","MT","MS","MG","PA","PB","PR","PE","PI","RN","RS","RO","RR","SC","SP","SE","TO"},0),19,20,20,18,20.5,20,20,17,19,23,17,17,18,19,20,19.5,20.5,22.5,20,17,19.5,20,17,18,20,20),"?"))</f>
        <v/>
      </c>
      <c r="K128" s="5"/>
    </row>
    <row r="129" spans="1:11" x14ac:dyDescent="0.25">
      <c r="A129" s="9" t="s">
        <v>272</v>
      </c>
      <c r="B129" s="9" t="s">
        <v>273</v>
      </c>
      <c r="C129" s="6"/>
      <c r="D129" s="6"/>
      <c r="E129" s="6"/>
      <c r="F129" s="7"/>
      <c r="G129" s="6"/>
      <c r="H129" s="6"/>
      <c r="I129" s="8">
        <f t="shared" si="1"/>
        <v>12</v>
      </c>
      <c r="J129" s="8" t="str">
        <f>IF(C129="","",IFERROR(CHOOSE(MATCH(C129,{"AC","AL","AM","AP","BA","CE","DF","ES","GO","MA","MT","MS","MG","PA","PB","PR","PE","PI","RN","RS","RO","RR","SC","SP","SE","TO"},0),19,20,20,18,20.5,20,20,17,19,23,17,17,18,19,20,19.5,20.5,22.5,20,17,19.5,20,17,18,20,20),"?"))</f>
        <v/>
      </c>
      <c r="K129" s="9"/>
    </row>
    <row r="130" spans="1:11" x14ac:dyDescent="0.25">
      <c r="A130" s="5" t="s">
        <v>274</v>
      </c>
      <c r="B130" s="5" t="s">
        <v>275</v>
      </c>
      <c r="C130" s="6"/>
      <c r="D130" s="6"/>
      <c r="E130" s="6"/>
      <c r="F130" s="7"/>
      <c r="G130" s="6"/>
      <c r="H130" s="6"/>
      <c r="I130" s="8">
        <f t="shared" si="1"/>
        <v>12</v>
      </c>
      <c r="J130" s="8" t="str">
        <f>IF(C130="","",IFERROR(CHOOSE(MATCH(C130,{"AC","AL","AM","AP","BA","CE","DF","ES","GO","MA","MT","MS","MG","PA","PB","PR","PE","PI","RN","RS","RO","RR","SC","SP","SE","TO"},0),19,20,20,18,20.5,20,20,17,19,23,17,17,18,19,20,19.5,20.5,22.5,20,17,19.5,20,17,18,20,20),"?"))</f>
        <v/>
      </c>
      <c r="K130" s="5"/>
    </row>
    <row r="131" spans="1:11" x14ac:dyDescent="0.25">
      <c r="A131" s="9" t="s">
        <v>276</v>
      </c>
      <c r="B131" s="9" t="s">
        <v>277</v>
      </c>
      <c r="C131" s="6"/>
      <c r="D131" s="6"/>
      <c r="E131" s="6"/>
      <c r="F131" s="7"/>
      <c r="G131" s="6"/>
      <c r="H131" s="6"/>
      <c r="I131" s="8">
        <f t="shared" si="1"/>
        <v>12</v>
      </c>
      <c r="J131" s="8" t="str">
        <f>IF(C131="","",IFERROR(CHOOSE(MATCH(C131,{"AC","AL","AM","AP","BA","CE","DF","ES","GO","MA","MT","MS","MG","PA","PB","PR","PE","PI","RN","RS","RO","RR","SC","SP","SE","TO"},0),19,20,20,18,20.5,20,20,17,19,23,17,17,18,19,20,19.5,20.5,22.5,20,17,19.5,20,17,18,20,20),"?"))</f>
        <v/>
      </c>
      <c r="K131" s="9"/>
    </row>
    <row r="132" spans="1:11" x14ac:dyDescent="0.25">
      <c r="A132" s="5" t="s">
        <v>276</v>
      </c>
      <c r="B132" s="5" t="s">
        <v>278</v>
      </c>
      <c r="C132" s="6"/>
      <c r="D132" s="6"/>
      <c r="E132" s="6"/>
      <c r="F132" s="7"/>
      <c r="G132" s="6"/>
      <c r="H132" s="6"/>
      <c r="I132" s="8">
        <f t="shared" ref="I132:I195" si="2">IF(G132="SIM",4,IF(OR(C132="MG",C132="SP",C132="PR",C132="RS",C132="SC",C132="ES"),7,12))</f>
        <v>12</v>
      </c>
      <c r="J132" s="8" t="str">
        <f>IF(C132="","",IFERROR(CHOOSE(MATCH(C132,{"AC","AL","AM","AP","BA","CE","DF","ES","GO","MA","MT","MS","MG","PA","PB","PR","PE","PI","RN","RS","RO","RR","SC","SP","SE","TO"},0),19,20,20,18,20.5,20,20,17,19,23,17,17,18,19,20,19.5,20.5,22.5,20,17,19.5,20,17,18,20,20),"?"))</f>
        <v/>
      </c>
      <c r="K132" s="5"/>
    </row>
    <row r="133" spans="1:11" x14ac:dyDescent="0.25">
      <c r="A133" s="9" t="s">
        <v>279</v>
      </c>
      <c r="B133" s="9" t="s">
        <v>280</v>
      </c>
      <c r="C133" s="6"/>
      <c r="D133" s="6"/>
      <c r="E133" s="6"/>
      <c r="F133" s="7"/>
      <c r="G133" s="6"/>
      <c r="H133" s="6"/>
      <c r="I133" s="8">
        <f t="shared" si="2"/>
        <v>12</v>
      </c>
      <c r="J133" s="8" t="str">
        <f>IF(C133="","",IFERROR(CHOOSE(MATCH(C133,{"AC","AL","AM","AP","BA","CE","DF","ES","GO","MA","MT","MS","MG","PA","PB","PR","PE","PI","RN","RS","RO","RR","SC","SP","SE","TO"},0),19,20,20,18,20.5,20,20,17,19,23,17,17,18,19,20,19.5,20.5,22.5,20,17,19.5,20,17,18,20,20),"?"))</f>
        <v/>
      </c>
      <c r="K133" s="9"/>
    </row>
    <row r="134" spans="1:11" x14ac:dyDescent="0.25">
      <c r="A134" s="5" t="s">
        <v>281</v>
      </c>
      <c r="B134" s="5" t="s">
        <v>282</v>
      </c>
      <c r="C134" s="6"/>
      <c r="D134" s="6"/>
      <c r="E134" s="6"/>
      <c r="F134" s="7"/>
      <c r="G134" s="6"/>
      <c r="H134" s="6"/>
      <c r="I134" s="8">
        <f t="shared" si="2"/>
        <v>12</v>
      </c>
      <c r="J134" s="8" t="str">
        <f>IF(C134="","",IFERROR(CHOOSE(MATCH(C134,{"AC","AL","AM","AP","BA","CE","DF","ES","GO","MA","MT","MS","MG","PA","PB","PR","PE","PI","RN","RS","RO","RR","SC","SP","SE","TO"},0),19,20,20,18,20.5,20,20,17,19,23,17,17,18,19,20,19.5,20.5,22.5,20,17,19.5,20,17,18,20,20),"?"))</f>
        <v/>
      </c>
      <c r="K134" s="5"/>
    </row>
    <row r="135" spans="1:11" x14ac:dyDescent="0.25">
      <c r="A135" s="9" t="s">
        <v>283</v>
      </c>
      <c r="B135" s="9" t="s">
        <v>284</v>
      </c>
      <c r="C135" s="6"/>
      <c r="D135" s="6"/>
      <c r="E135" s="6"/>
      <c r="F135" s="7"/>
      <c r="G135" s="6"/>
      <c r="H135" s="6"/>
      <c r="I135" s="8">
        <f t="shared" si="2"/>
        <v>12</v>
      </c>
      <c r="J135" s="8" t="str">
        <f>IF(C135="","",IFERROR(CHOOSE(MATCH(C135,{"AC","AL","AM","AP","BA","CE","DF","ES","GO","MA","MT","MS","MG","PA","PB","PR","PE","PI","RN","RS","RO","RR","SC","SP","SE","TO"},0),19,20,20,18,20.5,20,20,17,19,23,17,17,18,19,20,19.5,20.5,22.5,20,17,19.5,20,17,18,20,20),"?"))</f>
        <v/>
      </c>
      <c r="K135" s="9"/>
    </row>
    <row r="136" spans="1:11" x14ac:dyDescent="0.25">
      <c r="A136" s="5" t="s">
        <v>285</v>
      </c>
      <c r="B136" s="5" t="s">
        <v>284</v>
      </c>
      <c r="C136" s="6"/>
      <c r="D136" s="6"/>
      <c r="E136" s="6"/>
      <c r="F136" s="7"/>
      <c r="G136" s="6"/>
      <c r="H136" s="6"/>
      <c r="I136" s="8">
        <f t="shared" si="2"/>
        <v>12</v>
      </c>
      <c r="J136" s="8" t="str">
        <f>IF(C136="","",IFERROR(CHOOSE(MATCH(C136,{"AC","AL","AM","AP","BA","CE","DF","ES","GO","MA","MT","MS","MG","PA","PB","PR","PE","PI","RN","RS","RO","RR","SC","SP","SE","TO"},0),19,20,20,18,20.5,20,20,17,19,23,17,17,18,19,20,19.5,20.5,22.5,20,17,19.5,20,17,18,20,20),"?"))</f>
        <v/>
      </c>
      <c r="K136" s="5"/>
    </row>
    <row r="137" spans="1:11" x14ac:dyDescent="0.25">
      <c r="A137" s="9" t="s">
        <v>286</v>
      </c>
      <c r="B137" s="9" t="s">
        <v>287</v>
      </c>
      <c r="C137" s="6"/>
      <c r="D137" s="6"/>
      <c r="E137" s="6"/>
      <c r="F137" s="7"/>
      <c r="G137" s="6"/>
      <c r="H137" s="6"/>
      <c r="I137" s="8">
        <f t="shared" si="2"/>
        <v>12</v>
      </c>
      <c r="J137" s="8" t="str">
        <f>IF(C137="","",IFERROR(CHOOSE(MATCH(C137,{"AC","AL","AM","AP","BA","CE","DF","ES","GO","MA","MT","MS","MG","PA","PB","PR","PE","PI","RN","RS","RO","RR","SC","SP","SE","TO"},0),19,20,20,18,20.5,20,20,17,19,23,17,17,18,19,20,19.5,20.5,22.5,20,17,19.5,20,17,18,20,20),"?"))</f>
        <v/>
      </c>
      <c r="K137" s="9"/>
    </row>
    <row r="138" spans="1:11" x14ac:dyDescent="0.25">
      <c r="A138" s="5" t="s">
        <v>288</v>
      </c>
      <c r="B138" s="5" t="s">
        <v>289</v>
      </c>
      <c r="C138" s="6"/>
      <c r="D138" s="6"/>
      <c r="E138" s="6"/>
      <c r="F138" s="7"/>
      <c r="G138" s="6"/>
      <c r="H138" s="6"/>
      <c r="I138" s="8">
        <f t="shared" si="2"/>
        <v>12</v>
      </c>
      <c r="J138" s="8" t="str">
        <f>IF(C138="","",IFERROR(CHOOSE(MATCH(C138,{"AC","AL","AM","AP","BA","CE","DF","ES","GO","MA","MT","MS","MG","PA","PB","PR","PE","PI","RN","RS","RO","RR","SC","SP","SE","TO"},0),19,20,20,18,20.5,20,20,17,19,23,17,17,18,19,20,19.5,20.5,22.5,20,17,19.5,20,17,18,20,20),"?"))</f>
        <v/>
      </c>
      <c r="K138" s="5"/>
    </row>
    <row r="139" spans="1:11" x14ac:dyDescent="0.25">
      <c r="A139" s="9" t="s">
        <v>290</v>
      </c>
      <c r="B139" s="9" t="s">
        <v>291</v>
      </c>
      <c r="C139" s="6"/>
      <c r="D139" s="6"/>
      <c r="E139" s="6"/>
      <c r="F139" s="7"/>
      <c r="G139" s="6"/>
      <c r="H139" s="6"/>
      <c r="I139" s="8">
        <f t="shared" si="2"/>
        <v>12</v>
      </c>
      <c r="J139" s="8" t="str">
        <f>IF(C139="","",IFERROR(CHOOSE(MATCH(C139,{"AC","AL","AM","AP","BA","CE","DF","ES","GO","MA","MT","MS","MG","PA","PB","PR","PE","PI","RN","RS","RO","RR","SC","SP","SE","TO"},0),19,20,20,18,20.5,20,20,17,19,23,17,17,18,19,20,19.5,20.5,22.5,20,17,19.5,20,17,18,20,20),"?"))</f>
        <v/>
      </c>
      <c r="K139" s="9"/>
    </row>
    <row r="140" spans="1:11" x14ac:dyDescent="0.25">
      <c r="A140" s="5" t="s">
        <v>292</v>
      </c>
      <c r="B140" s="5" t="s">
        <v>293</v>
      </c>
      <c r="C140" s="6"/>
      <c r="D140" s="6"/>
      <c r="E140" s="6"/>
      <c r="F140" s="7"/>
      <c r="G140" s="6"/>
      <c r="H140" s="6"/>
      <c r="I140" s="8">
        <f t="shared" si="2"/>
        <v>12</v>
      </c>
      <c r="J140" s="8" t="str">
        <f>IF(C140="","",IFERROR(CHOOSE(MATCH(C140,{"AC","AL","AM","AP","BA","CE","DF","ES","GO","MA","MT","MS","MG","PA","PB","PR","PE","PI","RN","RS","RO","RR","SC","SP","SE","TO"},0),19,20,20,18,20.5,20,20,17,19,23,17,17,18,19,20,19.5,20.5,22.5,20,17,19.5,20,17,18,20,20),"?"))</f>
        <v/>
      </c>
      <c r="K140" s="5"/>
    </row>
    <row r="141" spans="1:11" x14ac:dyDescent="0.25">
      <c r="A141" s="9" t="s">
        <v>294</v>
      </c>
      <c r="B141" s="9" t="s">
        <v>295</v>
      </c>
      <c r="C141" s="6"/>
      <c r="D141" s="6"/>
      <c r="E141" s="6"/>
      <c r="F141" s="7"/>
      <c r="G141" s="6"/>
      <c r="H141" s="6"/>
      <c r="I141" s="8">
        <f t="shared" si="2"/>
        <v>12</v>
      </c>
      <c r="J141" s="8" t="str">
        <f>IF(C141="","",IFERROR(CHOOSE(MATCH(C141,{"AC","AL","AM","AP","BA","CE","DF","ES","GO","MA","MT","MS","MG","PA","PB","PR","PE","PI","RN","RS","RO","RR","SC","SP","SE","TO"},0),19,20,20,18,20.5,20,20,17,19,23,17,17,18,19,20,19.5,20.5,22.5,20,17,19.5,20,17,18,20,20),"?"))</f>
        <v/>
      </c>
      <c r="K141" s="9"/>
    </row>
    <row r="142" spans="1:11" x14ac:dyDescent="0.25">
      <c r="A142" s="5" t="s">
        <v>296</v>
      </c>
      <c r="B142" s="5" t="s">
        <v>297</v>
      </c>
      <c r="C142" s="6"/>
      <c r="D142" s="6"/>
      <c r="E142" s="6"/>
      <c r="F142" s="7"/>
      <c r="G142" s="6"/>
      <c r="H142" s="6"/>
      <c r="I142" s="8">
        <f t="shared" si="2"/>
        <v>12</v>
      </c>
      <c r="J142" s="8" t="str">
        <f>IF(C142="","",IFERROR(CHOOSE(MATCH(C142,{"AC","AL","AM","AP","BA","CE","DF","ES","GO","MA","MT","MS","MG","PA","PB","PR","PE","PI","RN","RS","RO","RR","SC","SP","SE","TO"},0),19,20,20,18,20.5,20,20,17,19,23,17,17,18,19,20,19.5,20.5,22.5,20,17,19.5,20,17,18,20,20),"?"))</f>
        <v/>
      </c>
      <c r="K142" s="5"/>
    </row>
    <row r="143" spans="1:11" x14ac:dyDescent="0.25">
      <c r="A143" s="9" t="s">
        <v>298</v>
      </c>
      <c r="B143" s="9" t="s">
        <v>299</v>
      </c>
      <c r="C143" s="6"/>
      <c r="D143" s="6"/>
      <c r="E143" s="6"/>
      <c r="F143" s="7"/>
      <c r="G143" s="6"/>
      <c r="H143" s="6"/>
      <c r="I143" s="8">
        <f t="shared" si="2"/>
        <v>12</v>
      </c>
      <c r="J143" s="8" t="str">
        <f>IF(C143="","",IFERROR(CHOOSE(MATCH(C143,{"AC","AL","AM","AP","BA","CE","DF","ES","GO","MA","MT","MS","MG","PA","PB","PR","PE","PI","RN","RS","RO","RR","SC","SP","SE","TO"},0),19,20,20,18,20.5,20,20,17,19,23,17,17,18,19,20,19.5,20.5,22.5,20,17,19.5,20,17,18,20,20),"?"))</f>
        <v/>
      </c>
      <c r="K143" s="9"/>
    </row>
    <row r="144" spans="1:11" x14ac:dyDescent="0.25">
      <c r="A144" s="5" t="s">
        <v>300</v>
      </c>
      <c r="B144" s="5" t="s">
        <v>301</v>
      </c>
      <c r="C144" s="6"/>
      <c r="D144" s="6"/>
      <c r="E144" s="6"/>
      <c r="F144" s="7"/>
      <c r="G144" s="6"/>
      <c r="H144" s="6"/>
      <c r="I144" s="8">
        <f t="shared" si="2"/>
        <v>12</v>
      </c>
      <c r="J144" s="8" t="str">
        <f>IF(C144="","",IFERROR(CHOOSE(MATCH(C144,{"AC","AL","AM","AP","BA","CE","DF","ES","GO","MA","MT","MS","MG","PA","PB","PR","PE","PI","RN","RS","RO","RR","SC","SP","SE","TO"},0),19,20,20,18,20.5,20,20,17,19,23,17,17,18,19,20,19.5,20.5,22.5,20,17,19.5,20,17,18,20,20),"?"))</f>
        <v/>
      </c>
      <c r="K144" s="5"/>
    </row>
    <row r="145" spans="1:11" x14ac:dyDescent="0.25">
      <c r="A145" s="9" t="s">
        <v>302</v>
      </c>
      <c r="B145" s="9" t="s">
        <v>303</v>
      </c>
      <c r="C145" s="6"/>
      <c r="D145" s="6"/>
      <c r="E145" s="6"/>
      <c r="F145" s="7"/>
      <c r="G145" s="6"/>
      <c r="H145" s="6"/>
      <c r="I145" s="8">
        <f t="shared" si="2"/>
        <v>12</v>
      </c>
      <c r="J145" s="8" t="str">
        <f>IF(C145="","",IFERROR(CHOOSE(MATCH(C145,{"AC","AL","AM","AP","BA","CE","DF","ES","GO","MA","MT","MS","MG","PA","PB","PR","PE","PI","RN","RS","RO","RR","SC","SP","SE","TO"},0),19,20,20,18,20.5,20,20,17,19,23,17,17,18,19,20,19.5,20.5,22.5,20,17,19.5,20,17,18,20,20),"?"))</f>
        <v/>
      </c>
      <c r="K145" s="9"/>
    </row>
    <row r="146" spans="1:11" x14ac:dyDescent="0.25">
      <c r="A146" s="5" t="s">
        <v>304</v>
      </c>
      <c r="B146" s="5" t="s">
        <v>305</v>
      </c>
      <c r="C146" s="6"/>
      <c r="D146" s="6"/>
      <c r="E146" s="6"/>
      <c r="F146" s="7"/>
      <c r="G146" s="6"/>
      <c r="H146" s="6"/>
      <c r="I146" s="8">
        <f t="shared" si="2"/>
        <v>12</v>
      </c>
      <c r="J146" s="8" t="str">
        <f>IF(C146="","",IFERROR(CHOOSE(MATCH(C146,{"AC","AL","AM","AP","BA","CE","DF","ES","GO","MA","MT","MS","MG","PA","PB","PR","PE","PI","RN","RS","RO","RR","SC","SP","SE","TO"},0),19,20,20,18,20.5,20,20,17,19,23,17,17,18,19,20,19.5,20.5,22.5,20,17,19.5,20,17,18,20,20),"?"))</f>
        <v/>
      </c>
      <c r="K146" s="5"/>
    </row>
    <row r="147" spans="1:11" x14ac:dyDescent="0.25">
      <c r="A147" s="9" t="s">
        <v>306</v>
      </c>
      <c r="B147" s="9" t="s">
        <v>307</v>
      </c>
      <c r="C147" s="6"/>
      <c r="D147" s="6"/>
      <c r="E147" s="6"/>
      <c r="F147" s="7"/>
      <c r="G147" s="6"/>
      <c r="H147" s="6"/>
      <c r="I147" s="8">
        <f t="shared" si="2"/>
        <v>12</v>
      </c>
      <c r="J147" s="8" t="str">
        <f>IF(C147="","",IFERROR(CHOOSE(MATCH(C147,{"AC","AL","AM","AP","BA","CE","DF","ES","GO","MA","MT","MS","MG","PA","PB","PR","PE","PI","RN","RS","RO","RR","SC","SP","SE","TO"},0),19,20,20,18,20.5,20,20,17,19,23,17,17,18,19,20,19.5,20.5,22.5,20,17,19.5,20,17,18,20,20),"?"))</f>
        <v/>
      </c>
      <c r="K147" s="9"/>
    </row>
    <row r="148" spans="1:11" x14ac:dyDescent="0.25">
      <c r="A148" s="5" t="s">
        <v>308</v>
      </c>
      <c r="B148" s="5" t="s">
        <v>309</v>
      </c>
      <c r="C148" s="6"/>
      <c r="D148" s="6"/>
      <c r="E148" s="6"/>
      <c r="F148" s="7"/>
      <c r="G148" s="6"/>
      <c r="H148" s="6"/>
      <c r="I148" s="8">
        <f t="shared" si="2"/>
        <v>12</v>
      </c>
      <c r="J148" s="8" t="str">
        <f>IF(C148="","",IFERROR(CHOOSE(MATCH(C148,{"AC","AL","AM","AP","BA","CE","DF","ES","GO","MA","MT","MS","MG","PA","PB","PR","PE","PI","RN","RS","RO","RR","SC","SP","SE","TO"},0),19,20,20,18,20.5,20,20,17,19,23,17,17,18,19,20,19.5,20.5,22.5,20,17,19.5,20,17,18,20,20),"?"))</f>
        <v/>
      </c>
      <c r="K148" s="5"/>
    </row>
    <row r="149" spans="1:11" x14ac:dyDescent="0.25">
      <c r="A149" s="9" t="s">
        <v>310</v>
      </c>
      <c r="B149" s="9" t="s">
        <v>311</v>
      </c>
      <c r="C149" s="6"/>
      <c r="D149" s="6"/>
      <c r="E149" s="6"/>
      <c r="F149" s="7"/>
      <c r="G149" s="6"/>
      <c r="H149" s="6"/>
      <c r="I149" s="8">
        <f t="shared" si="2"/>
        <v>12</v>
      </c>
      <c r="J149" s="8" t="str">
        <f>IF(C149="","",IFERROR(CHOOSE(MATCH(C149,{"AC","AL","AM","AP","BA","CE","DF","ES","GO","MA","MT","MS","MG","PA","PB","PR","PE","PI","RN","RS","RO","RR","SC","SP","SE","TO"},0),19,20,20,18,20.5,20,20,17,19,23,17,17,18,19,20,19.5,20.5,22.5,20,17,19.5,20,17,18,20,20),"?"))</f>
        <v/>
      </c>
      <c r="K149" s="9"/>
    </row>
    <row r="150" spans="1:11" x14ac:dyDescent="0.25">
      <c r="A150" s="5" t="s">
        <v>312</v>
      </c>
      <c r="B150" s="5" t="s">
        <v>313</v>
      </c>
      <c r="C150" s="6"/>
      <c r="D150" s="6"/>
      <c r="E150" s="6"/>
      <c r="F150" s="7"/>
      <c r="G150" s="6"/>
      <c r="H150" s="6"/>
      <c r="I150" s="8">
        <f t="shared" si="2"/>
        <v>12</v>
      </c>
      <c r="J150" s="8" t="str">
        <f>IF(C150="","",IFERROR(CHOOSE(MATCH(C150,{"AC","AL","AM","AP","BA","CE","DF","ES","GO","MA","MT","MS","MG","PA","PB","PR","PE","PI","RN","RS","RO","RR","SC","SP","SE","TO"},0),19,20,20,18,20.5,20,20,17,19,23,17,17,18,19,20,19.5,20.5,22.5,20,17,19.5,20,17,18,20,20),"?"))</f>
        <v/>
      </c>
      <c r="K150" s="5"/>
    </row>
    <row r="151" spans="1:11" x14ac:dyDescent="0.25">
      <c r="A151" s="9" t="s">
        <v>314</v>
      </c>
      <c r="B151" s="9" t="s">
        <v>315</v>
      </c>
      <c r="C151" s="6"/>
      <c r="D151" s="6"/>
      <c r="E151" s="6"/>
      <c r="F151" s="7"/>
      <c r="G151" s="6"/>
      <c r="H151" s="6"/>
      <c r="I151" s="8">
        <f t="shared" si="2"/>
        <v>12</v>
      </c>
      <c r="J151" s="8" t="str">
        <f>IF(C151="","",IFERROR(CHOOSE(MATCH(C151,{"AC","AL","AM","AP","BA","CE","DF","ES","GO","MA","MT","MS","MG","PA","PB","PR","PE","PI","RN","RS","RO","RR","SC","SP","SE","TO"},0),19,20,20,18,20.5,20,20,17,19,23,17,17,18,19,20,19.5,20.5,22.5,20,17,19.5,20,17,18,20,20),"?"))</f>
        <v/>
      </c>
      <c r="K151" s="9"/>
    </row>
    <row r="152" spans="1:11" x14ac:dyDescent="0.25">
      <c r="A152" s="5" t="s">
        <v>316</v>
      </c>
      <c r="B152" s="5" t="s">
        <v>317</v>
      </c>
      <c r="C152" s="6"/>
      <c r="D152" s="6"/>
      <c r="E152" s="6"/>
      <c r="F152" s="7"/>
      <c r="G152" s="6"/>
      <c r="H152" s="6"/>
      <c r="I152" s="8">
        <f t="shared" si="2"/>
        <v>12</v>
      </c>
      <c r="J152" s="8" t="str">
        <f>IF(C152="","",IFERROR(CHOOSE(MATCH(C152,{"AC","AL","AM","AP","BA","CE","DF","ES","GO","MA","MT","MS","MG","PA","PB","PR","PE","PI","RN","RS","RO","RR","SC","SP","SE","TO"},0),19,20,20,18,20.5,20,20,17,19,23,17,17,18,19,20,19.5,20.5,22.5,20,17,19.5,20,17,18,20,20),"?"))</f>
        <v/>
      </c>
      <c r="K152" s="5"/>
    </row>
    <row r="153" spans="1:11" x14ac:dyDescent="0.25">
      <c r="A153" s="9" t="s">
        <v>318</v>
      </c>
      <c r="B153" s="9" t="s">
        <v>319</v>
      </c>
      <c r="C153" s="6"/>
      <c r="D153" s="6"/>
      <c r="E153" s="6"/>
      <c r="F153" s="7"/>
      <c r="G153" s="6"/>
      <c r="H153" s="6"/>
      <c r="I153" s="8">
        <f t="shared" si="2"/>
        <v>12</v>
      </c>
      <c r="J153" s="8" t="str">
        <f>IF(C153="","",IFERROR(CHOOSE(MATCH(C153,{"AC","AL","AM","AP","BA","CE","DF","ES","GO","MA","MT","MS","MG","PA","PB","PR","PE","PI","RN","RS","RO","RR","SC","SP","SE","TO"},0),19,20,20,18,20.5,20,20,17,19,23,17,17,18,19,20,19.5,20.5,22.5,20,17,19.5,20,17,18,20,20),"?"))</f>
        <v/>
      </c>
      <c r="K153" s="9"/>
    </row>
    <row r="154" spans="1:11" x14ac:dyDescent="0.25">
      <c r="A154" s="5" t="s">
        <v>320</v>
      </c>
      <c r="B154" s="5" t="s">
        <v>321</v>
      </c>
      <c r="C154" s="6"/>
      <c r="D154" s="6"/>
      <c r="E154" s="6"/>
      <c r="F154" s="7"/>
      <c r="G154" s="6"/>
      <c r="H154" s="6"/>
      <c r="I154" s="8">
        <f t="shared" si="2"/>
        <v>12</v>
      </c>
      <c r="J154" s="8" t="str">
        <f>IF(C154="","",IFERROR(CHOOSE(MATCH(C154,{"AC","AL","AM","AP","BA","CE","DF","ES","GO","MA","MT","MS","MG","PA","PB","PR","PE","PI","RN","RS","RO","RR","SC","SP","SE","TO"},0),19,20,20,18,20.5,20,20,17,19,23,17,17,18,19,20,19.5,20.5,22.5,20,17,19.5,20,17,18,20,20),"?"))</f>
        <v/>
      </c>
      <c r="K154" s="5"/>
    </row>
    <row r="155" spans="1:11" x14ac:dyDescent="0.25">
      <c r="A155" s="9" t="s">
        <v>322</v>
      </c>
      <c r="B155" s="9" t="s">
        <v>323</v>
      </c>
      <c r="C155" s="6"/>
      <c r="D155" s="6"/>
      <c r="E155" s="6"/>
      <c r="F155" s="7"/>
      <c r="G155" s="6"/>
      <c r="H155" s="6"/>
      <c r="I155" s="8">
        <f t="shared" si="2"/>
        <v>12</v>
      </c>
      <c r="J155" s="8" t="str">
        <f>IF(C155="","",IFERROR(CHOOSE(MATCH(C155,{"AC","AL","AM","AP","BA","CE","DF","ES","GO","MA","MT","MS","MG","PA","PB","PR","PE","PI","RN","RS","RO","RR","SC","SP","SE","TO"},0),19,20,20,18,20.5,20,20,17,19,23,17,17,18,19,20,19.5,20.5,22.5,20,17,19.5,20,17,18,20,20),"?"))</f>
        <v/>
      </c>
      <c r="K155" s="9"/>
    </row>
    <row r="156" spans="1:11" x14ac:dyDescent="0.25">
      <c r="A156" s="5" t="s">
        <v>324</v>
      </c>
      <c r="B156" s="5" t="s">
        <v>325</v>
      </c>
      <c r="C156" s="6"/>
      <c r="D156" s="6"/>
      <c r="E156" s="6"/>
      <c r="F156" s="7"/>
      <c r="G156" s="6"/>
      <c r="H156" s="6"/>
      <c r="I156" s="8">
        <f t="shared" si="2"/>
        <v>12</v>
      </c>
      <c r="J156" s="8" t="str">
        <f>IF(C156="","",IFERROR(CHOOSE(MATCH(C156,{"AC","AL","AM","AP","BA","CE","DF","ES","GO","MA","MT","MS","MG","PA","PB","PR","PE","PI","RN","RS","RO","RR","SC","SP","SE","TO"},0),19,20,20,18,20.5,20,20,17,19,23,17,17,18,19,20,19.5,20.5,22.5,20,17,19.5,20,17,18,20,20),"?"))</f>
        <v/>
      </c>
      <c r="K156" s="5"/>
    </row>
    <row r="157" spans="1:11" x14ac:dyDescent="0.25">
      <c r="A157" s="9" t="s">
        <v>326</v>
      </c>
      <c r="B157" s="9" t="s">
        <v>327</v>
      </c>
      <c r="C157" s="6"/>
      <c r="D157" s="6"/>
      <c r="E157" s="6"/>
      <c r="F157" s="7"/>
      <c r="G157" s="6"/>
      <c r="H157" s="6"/>
      <c r="I157" s="8">
        <f t="shared" si="2"/>
        <v>12</v>
      </c>
      <c r="J157" s="8" t="str">
        <f>IF(C157="","",IFERROR(CHOOSE(MATCH(C157,{"AC","AL","AM","AP","BA","CE","DF","ES","GO","MA","MT","MS","MG","PA","PB","PR","PE","PI","RN","RS","RO","RR","SC","SP","SE","TO"},0),19,20,20,18,20.5,20,20,17,19,23,17,17,18,19,20,19.5,20.5,22.5,20,17,19.5,20,17,18,20,20),"?"))</f>
        <v/>
      </c>
      <c r="K157" s="9"/>
    </row>
    <row r="158" spans="1:11" x14ac:dyDescent="0.25">
      <c r="A158" s="5" t="s">
        <v>328</v>
      </c>
      <c r="B158" s="5" t="s">
        <v>329</v>
      </c>
      <c r="C158" s="6"/>
      <c r="D158" s="6"/>
      <c r="E158" s="6"/>
      <c r="F158" s="7"/>
      <c r="G158" s="6"/>
      <c r="H158" s="6"/>
      <c r="I158" s="8">
        <f t="shared" si="2"/>
        <v>12</v>
      </c>
      <c r="J158" s="8" t="str">
        <f>IF(C158="","",IFERROR(CHOOSE(MATCH(C158,{"AC","AL","AM","AP","BA","CE","DF","ES","GO","MA","MT","MS","MG","PA","PB","PR","PE","PI","RN","RS","RO","RR","SC","SP","SE","TO"},0),19,20,20,18,20.5,20,20,17,19,23,17,17,18,19,20,19.5,20.5,22.5,20,17,19.5,20,17,18,20,20),"?"))</f>
        <v/>
      </c>
      <c r="K158" s="5"/>
    </row>
    <row r="159" spans="1:11" x14ac:dyDescent="0.25">
      <c r="A159" s="9" t="s">
        <v>330</v>
      </c>
      <c r="B159" s="9" t="s">
        <v>331</v>
      </c>
      <c r="C159" s="6"/>
      <c r="D159" s="6"/>
      <c r="E159" s="6"/>
      <c r="F159" s="7"/>
      <c r="G159" s="6"/>
      <c r="H159" s="6"/>
      <c r="I159" s="8">
        <f t="shared" si="2"/>
        <v>12</v>
      </c>
      <c r="J159" s="8" t="str">
        <f>IF(C159="","",IFERROR(CHOOSE(MATCH(C159,{"AC","AL","AM","AP","BA","CE","DF","ES","GO","MA","MT","MS","MG","PA","PB","PR","PE","PI","RN","RS","RO","RR","SC","SP","SE","TO"},0),19,20,20,18,20.5,20,20,17,19,23,17,17,18,19,20,19.5,20.5,22.5,20,17,19.5,20,17,18,20,20),"?"))</f>
        <v/>
      </c>
      <c r="K159" s="9"/>
    </row>
    <row r="160" spans="1:11" x14ac:dyDescent="0.25">
      <c r="A160" s="5" t="s">
        <v>332</v>
      </c>
      <c r="B160" s="5" t="s">
        <v>333</v>
      </c>
      <c r="C160" s="6"/>
      <c r="D160" s="6"/>
      <c r="E160" s="6"/>
      <c r="F160" s="7"/>
      <c r="G160" s="6"/>
      <c r="H160" s="6"/>
      <c r="I160" s="8">
        <f t="shared" si="2"/>
        <v>12</v>
      </c>
      <c r="J160" s="8" t="str">
        <f>IF(C160="","",IFERROR(CHOOSE(MATCH(C160,{"AC","AL","AM","AP","BA","CE","DF","ES","GO","MA","MT","MS","MG","PA","PB","PR","PE","PI","RN","RS","RO","RR","SC","SP","SE","TO"},0),19,20,20,18,20.5,20,20,17,19,23,17,17,18,19,20,19.5,20.5,22.5,20,17,19.5,20,17,18,20,20),"?"))</f>
        <v/>
      </c>
      <c r="K160" s="5"/>
    </row>
    <row r="161" spans="1:11" x14ac:dyDescent="0.25">
      <c r="A161" s="9" t="s">
        <v>334</v>
      </c>
      <c r="B161" s="9" t="s">
        <v>333</v>
      </c>
      <c r="C161" s="6"/>
      <c r="D161" s="6"/>
      <c r="E161" s="6"/>
      <c r="F161" s="7"/>
      <c r="G161" s="6"/>
      <c r="H161" s="6"/>
      <c r="I161" s="8">
        <f t="shared" si="2"/>
        <v>12</v>
      </c>
      <c r="J161" s="8" t="str">
        <f>IF(C161="","",IFERROR(CHOOSE(MATCH(C161,{"AC","AL","AM","AP","BA","CE","DF","ES","GO","MA","MT","MS","MG","PA","PB","PR","PE","PI","RN","RS","RO","RR","SC","SP","SE","TO"},0),19,20,20,18,20.5,20,20,17,19,23,17,17,18,19,20,19.5,20.5,22.5,20,17,19.5,20,17,18,20,20),"?"))</f>
        <v/>
      </c>
      <c r="K161" s="9"/>
    </row>
    <row r="162" spans="1:11" x14ac:dyDescent="0.25">
      <c r="A162" s="5" t="s">
        <v>335</v>
      </c>
      <c r="B162" s="5" t="s">
        <v>336</v>
      </c>
      <c r="C162" s="6"/>
      <c r="D162" s="6"/>
      <c r="E162" s="6"/>
      <c r="F162" s="7"/>
      <c r="G162" s="6"/>
      <c r="H162" s="6"/>
      <c r="I162" s="8">
        <f t="shared" si="2"/>
        <v>12</v>
      </c>
      <c r="J162" s="8" t="str">
        <f>IF(C162="","",IFERROR(CHOOSE(MATCH(C162,{"AC","AL","AM","AP","BA","CE","DF","ES","GO","MA","MT","MS","MG","PA","PB","PR","PE","PI","RN","RS","RO","RR","SC","SP","SE","TO"},0),19,20,20,18,20.5,20,20,17,19,23,17,17,18,19,20,19.5,20.5,22.5,20,17,19.5,20,17,18,20,20),"?"))</f>
        <v/>
      </c>
      <c r="K162" s="5"/>
    </row>
    <row r="163" spans="1:11" x14ac:dyDescent="0.25">
      <c r="A163" s="9" t="s">
        <v>335</v>
      </c>
      <c r="B163" s="9" t="s">
        <v>337</v>
      </c>
      <c r="C163" s="6"/>
      <c r="D163" s="6"/>
      <c r="E163" s="6"/>
      <c r="F163" s="7"/>
      <c r="G163" s="6"/>
      <c r="H163" s="6"/>
      <c r="I163" s="8">
        <f t="shared" si="2"/>
        <v>12</v>
      </c>
      <c r="J163" s="8" t="str">
        <f>IF(C163="","",IFERROR(CHOOSE(MATCH(C163,{"AC","AL","AM","AP","BA","CE","DF","ES","GO","MA","MT","MS","MG","PA","PB","PR","PE","PI","RN","RS","RO","RR","SC","SP","SE","TO"},0),19,20,20,18,20.5,20,20,17,19,23,17,17,18,19,20,19.5,20.5,22.5,20,17,19.5,20,17,18,20,20),"?"))</f>
        <v/>
      </c>
      <c r="K163" s="9"/>
    </row>
    <row r="164" spans="1:11" x14ac:dyDescent="0.25">
      <c r="A164" s="5" t="s">
        <v>338</v>
      </c>
      <c r="B164" s="5" t="s">
        <v>333</v>
      </c>
      <c r="C164" s="6"/>
      <c r="D164" s="6"/>
      <c r="E164" s="6"/>
      <c r="F164" s="7"/>
      <c r="G164" s="6"/>
      <c r="H164" s="6"/>
      <c r="I164" s="8">
        <f t="shared" si="2"/>
        <v>12</v>
      </c>
      <c r="J164" s="8" t="str">
        <f>IF(C164="","",IFERROR(CHOOSE(MATCH(C164,{"AC","AL","AM","AP","BA","CE","DF","ES","GO","MA","MT","MS","MG","PA","PB","PR","PE","PI","RN","RS","RO","RR","SC","SP","SE","TO"},0),19,20,20,18,20.5,20,20,17,19,23,17,17,18,19,20,19.5,20.5,22.5,20,17,19.5,20,17,18,20,20),"?"))</f>
        <v/>
      </c>
      <c r="K164" s="5"/>
    </row>
    <row r="165" spans="1:11" x14ac:dyDescent="0.25">
      <c r="A165" s="9" t="s">
        <v>339</v>
      </c>
      <c r="B165" s="9" t="s">
        <v>340</v>
      </c>
      <c r="C165" s="6"/>
      <c r="D165" s="6"/>
      <c r="E165" s="6"/>
      <c r="F165" s="7"/>
      <c r="G165" s="6"/>
      <c r="H165" s="6"/>
      <c r="I165" s="8">
        <f t="shared" si="2"/>
        <v>12</v>
      </c>
      <c r="J165" s="8" t="str">
        <f>IF(C165="","",IFERROR(CHOOSE(MATCH(C165,{"AC","AL","AM","AP","BA","CE","DF","ES","GO","MA","MT","MS","MG","PA","PB","PR","PE","PI","RN","RS","RO","RR","SC","SP","SE","TO"},0),19,20,20,18,20.5,20,20,17,19,23,17,17,18,19,20,19.5,20.5,22.5,20,17,19.5,20,17,18,20,20),"?"))</f>
        <v/>
      </c>
      <c r="K165" s="9"/>
    </row>
    <row r="166" spans="1:11" x14ac:dyDescent="0.25">
      <c r="A166" s="5" t="s">
        <v>341</v>
      </c>
      <c r="B166" s="5" t="s">
        <v>342</v>
      </c>
      <c r="C166" s="6"/>
      <c r="D166" s="6"/>
      <c r="E166" s="6"/>
      <c r="F166" s="7"/>
      <c r="G166" s="6"/>
      <c r="H166" s="6"/>
      <c r="I166" s="8">
        <f t="shared" si="2"/>
        <v>12</v>
      </c>
      <c r="J166" s="8" t="str">
        <f>IF(C166="","",IFERROR(CHOOSE(MATCH(C166,{"AC","AL","AM","AP","BA","CE","DF","ES","GO","MA","MT","MS","MG","PA","PB","PR","PE","PI","RN","RS","RO","RR","SC","SP","SE","TO"},0),19,20,20,18,20.5,20,20,17,19,23,17,17,18,19,20,19.5,20.5,22.5,20,17,19.5,20,17,18,20,20),"?"))</f>
        <v/>
      </c>
      <c r="K166" s="5"/>
    </row>
    <row r="167" spans="1:11" x14ac:dyDescent="0.25">
      <c r="A167" s="9" t="s">
        <v>343</v>
      </c>
      <c r="B167" s="9" t="s">
        <v>344</v>
      </c>
      <c r="C167" s="6"/>
      <c r="D167" s="6"/>
      <c r="E167" s="6"/>
      <c r="F167" s="7"/>
      <c r="G167" s="6"/>
      <c r="H167" s="6"/>
      <c r="I167" s="8">
        <f t="shared" si="2"/>
        <v>12</v>
      </c>
      <c r="J167" s="8" t="str">
        <f>IF(C167="","",IFERROR(CHOOSE(MATCH(C167,{"AC","AL","AM","AP","BA","CE","DF","ES","GO","MA","MT","MS","MG","PA","PB","PR","PE","PI","RN","RS","RO","RR","SC","SP","SE","TO"},0),19,20,20,18,20.5,20,20,17,19,23,17,17,18,19,20,19.5,20.5,22.5,20,17,19.5,20,17,18,20,20),"?"))</f>
        <v/>
      </c>
      <c r="K167" s="9"/>
    </row>
    <row r="168" spans="1:11" x14ac:dyDescent="0.25">
      <c r="A168" s="5" t="s">
        <v>345</v>
      </c>
      <c r="B168" s="5" t="s">
        <v>346</v>
      </c>
      <c r="C168" s="6"/>
      <c r="D168" s="6"/>
      <c r="E168" s="6"/>
      <c r="F168" s="7"/>
      <c r="G168" s="6"/>
      <c r="H168" s="6"/>
      <c r="I168" s="8">
        <f t="shared" si="2"/>
        <v>12</v>
      </c>
      <c r="J168" s="8" t="str">
        <f>IF(C168="","",IFERROR(CHOOSE(MATCH(C168,{"AC","AL","AM","AP","BA","CE","DF","ES","GO","MA","MT","MS","MG","PA","PB","PR","PE","PI","RN","RS","RO","RR","SC","SP","SE","TO"},0),19,20,20,18,20.5,20,20,17,19,23,17,17,18,19,20,19.5,20.5,22.5,20,17,19.5,20,17,18,20,20),"?"))</f>
        <v/>
      </c>
      <c r="K168" s="5"/>
    </row>
    <row r="169" spans="1:11" x14ac:dyDescent="0.25">
      <c r="A169" s="9" t="s">
        <v>347</v>
      </c>
      <c r="B169" s="9" t="s">
        <v>348</v>
      </c>
      <c r="C169" s="6"/>
      <c r="D169" s="6"/>
      <c r="E169" s="6"/>
      <c r="F169" s="7"/>
      <c r="G169" s="6"/>
      <c r="H169" s="6"/>
      <c r="I169" s="8">
        <f t="shared" si="2"/>
        <v>12</v>
      </c>
      <c r="J169" s="8" t="str">
        <f>IF(C169="","",IFERROR(CHOOSE(MATCH(C169,{"AC","AL","AM","AP","BA","CE","DF","ES","GO","MA","MT","MS","MG","PA","PB","PR","PE","PI","RN","RS","RO","RR","SC","SP","SE","TO"},0),19,20,20,18,20.5,20,20,17,19,23,17,17,18,19,20,19.5,20.5,22.5,20,17,19.5,20,17,18,20,20),"?"))</f>
        <v/>
      </c>
      <c r="K169" s="9"/>
    </row>
    <row r="170" spans="1:11" x14ac:dyDescent="0.25">
      <c r="A170" s="5" t="s">
        <v>349</v>
      </c>
      <c r="B170" s="5" t="s">
        <v>350</v>
      </c>
      <c r="C170" s="6"/>
      <c r="D170" s="6"/>
      <c r="E170" s="6"/>
      <c r="F170" s="7"/>
      <c r="G170" s="6"/>
      <c r="H170" s="6"/>
      <c r="I170" s="8">
        <f t="shared" si="2"/>
        <v>12</v>
      </c>
      <c r="J170" s="8" t="str">
        <f>IF(C170="","",IFERROR(CHOOSE(MATCH(C170,{"AC","AL","AM","AP","BA","CE","DF","ES","GO","MA","MT","MS","MG","PA","PB","PR","PE","PI","RN","RS","RO","RR","SC","SP","SE","TO"},0),19,20,20,18,20.5,20,20,17,19,23,17,17,18,19,20,19.5,20.5,22.5,20,17,19.5,20,17,18,20,20),"?"))</f>
        <v/>
      </c>
      <c r="K170" s="5"/>
    </row>
    <row r="171" spans="1:11" x14ac:dyDescent="0.25">
      <c r="A171" s="9" t="s">
        <v>351</v>
      </c>
      <c r="B171" s="9" t="s">
        <v>352</v>
      </c>
      <c r="C171" s="6"/>
      <c r="D171" s="6"/>
      <c r="E171" s="6"/>
      <c r="F171" s="7"/>
      <c r="G171" s="6"/>
      <c r="H171" s="6"/>
      <c r="I171" s="8">
        <f t="shared" si="2"/>
        <v>12</v>
      </c>
      <c r="J171" s="8" t="str">
        <f>IF(C171="","",IFERROR(CHOOSE(MATCH(C171,{"AC","AL","AM","AP","BA","CE","DF","ES","GO","MA","MT","MS","MG","PA","PB","PR","PE","PI","RN","RS","RO","RR","SC","SP","SE","TO"},0),19,20,20,18,20.5,20,20,17,19,23,17,17,18,19,20,19.5,20.5,22.5,20,17,19.5,20,17,18,20,20),"?"))</f>
        <v/>
      </c>
      <c r="K171" s="9"/>
    </row>
    <row r="172" spans="1:11" x14ac:dyDescent="0.25">
      <c r="A172" s="5" t="s">
        <v>353</v>
      </c>
      <c r="B172" s="5" t="s">
        <v>354</v>
      </c>
      <c r="C172" s="6"/>
      <c r="D172" s="6"/>
      <c r="E172" s="6"/>
      <c r="F172" s="7"/>
      <c r="G172" s="6"/>
      <c r="H172" s="6"/>
      <c r="I172" s="8">
        <f t="shared" si="2"/>
        <v>12</v>
      </c>
      <c r="J172" s="8" t="str">
        <f>IF(C172="","",IFERROR(CHOOSE(MATCH(C172,{"AC","AL","AM","AP","BA","CE","DF","ES","GO","MA","MT","MS","MG","PA","PB","PR","PE","PI","RN","RS","RO","RR","SC","SP","SE","TO"},0),19,20,20,18,20.5,20,20,17,19,23,17,17,18,19,20,19.5,20.5,22.5,20,17,19.5,20,17,18,20,20),"?"))</f>
        <v/>
      </c>
      <c r="K172" s="5"/>
    </row>
    <row r="173" spans="1:11" x14ac:dyDescent="0.25">
      <c r="A173" s="9" t="s">
        <v>355</v>
      </c>
      <c r="B173" s="9" t="s">
        <v>356</v>
      </c>
      <c r="C173" s="6"/>
      <c r="D173" s="6"/>
      <c r="E173" s="6"/>
      <c r="F173" s="7"/>
      <c r="G173" s="6"/>
      <c r="H173" s="6"/>
      <c r="I173" s="8">
        <f t="shared" si="2"/>
        <v>12</v>
      </c>
      <c r="J173" s="8" t="str">
        <f>IF(C173="","",IFERROR(CHOOSE(MATCH(C173,{"AC","AL","AM","AP","BA","CE","DF","ES","GO","MA","MT","MS","MG","PA","PB","PR","PE","PI","RN","RS","RO","RR","SC","SP","SE","TO"},0),19,20,20,18,20.5,20,20,17,19,23,17,17,18,19,20,19.5,20.5,22.5,20,17,19.5,20,17,18,20,20),"?"))</f>
        <v/>
      </c>
      <c r="K173" s="9"/>
    </row>
    <row r="174" spans="1:11" x14ac:dyDescent="0.25">
      <c r="A174" s="5" t="s">
        <v>357</v>
      </c>
      <c r="B174" s="5" t="s">
        <v>358</v>
      </c>
      <c r="C174" s="6"/>
      <c r="D174" s="6"/>
      <c r="E174" s="6"/>
      <c r="F174" s="7"/>
      <c r="G174" s="6"/>
      <c r="H174" s="6"/>
      <c r="I174" s="8">
        <f t="shared" si="2"/>
        <v>12</v>
      </c>
      <c r="J174" s="8" t="str">
        <f>IF(C174="","",IFERROR(CHOOSE(MATCH(C174,{"AC","AL","AM","AP","BA","CE","DF","ES","GO","MA","MT","MS","MG","PA","PB","PR","PE","PI","RN","RS","RO","RR","SC","SP","SE","TO"},0),19,20,20,18,20.5,20,20,17,19,23,17,17,18,19,20,19.5,20.5,22.5,20,17,19.5,20,17,18,20,20),"?"))</f>
        <v/>
      </c>
      <c r="K174" s="5"/>
    </row>
    <row r="175" spans="1:11" x14ac:dyDescent="0.25">
      <c r="A175" s="9" t="s">
        <v>359</v>
      </c>
      <c r="B175" s="9" t="s">
        <v>360</v>
      </c>
      <c r="C175" s="6"/>
      <c r="D175" s="6"/>
      <c r="E175" s="6"/>
      <c r="F175" s="7"/>
      <c r="G175" s="6"/>
      <c r="H175" s="6"/>
      <c r="I175" s="8">
        <f t="shared" si="2"/>
        <v>12</v>
      </c>
      <c r="J175" s="8" t="str">
        <f>IF(C175="","",IFERROR(CHOOSE(MATCH(C175,{"AC","AL","AM","AP","BA","CE","DF","ES","GO","MA","MT","MS","MG","PA","PB","PR","PE","PI","RN","RS","RO","RR","SC","SP","SE","TO"},0),19,20,20,18,20.5,20,20,17,19,23,17,17,18,19,20,19.5,20.5,22.5,20,17,19.5,20,17,18,20,20),"?"))</f>
        <v/>
      </c>
      <c r="K175" s="9"/>
    </row>
    <row r="176" spans="1:11" x14ac:dyDescent="0.25">
      <c r="A176" s="5" t="s">
        <v>361</v>
      </c>
      <c r="B176" s="5" t="s">
        <v>362</v>
      </c>
      <c r="C176" s="6"/>
      <c r="D176" s="6"/>
      <c r="E176" s="6"/>
      <c r="F176" s="7"/>
      <c r="G176" s="6"/>
      <c r="H176" s="6"/>
      <c r="I176" s="8">
        <f t="shared" si="2"/>
        <v>12</v>
      </c>
      <c r="J176" s="8" t="str">
        <f>IF(C176="","",IFERROR(CHOOSE(MATCH(C176,{"AC","AL","AM","AP","BA","CE","DF","ES","GO","MA","MT","MS","MG","PA","PB","PR","PE","PI","RN","RS","RO","RR","SC","SP","SE","TO"},0),19,20,20,18,20.5,20,20,17,19,23,17,17,18,19,20,19.5,20.5,22.5,20,17,19.5,20,17,18,20,20),"?"))</f>
        <v/>
      </c>
      <c r="K176" s="5"/>
    </row>
    <row r="177" spans="1:11" x14ac:dyDescent="0.25">
      <c r="A177" s="9" t="s">
        <v>363</v>
      </c>
      <c r="B177" s="9" t="s">
        <v>364</v>
      </c>
      <c r="C177" s="6"/>
      <c r="D177" s="6"/>
      <c r="E177" s="6"/>
      <c r="F177" s="7"/>
      <c r="G177" s="6"/>
      <c r="H177" s="6"/>
      <c r="I177" s="8">
        <f t="shared" si="2"/>
        <v>12</v>
      </c>
      <c r="J177" s="8" t="str">
        <f>IF(C177="","",IFERROR(CHOOSE(MATCH(C177,{"AC","AL","AM","AP","BA","CE","DF","ES","GO","MA","MT","MS","MG","PA","PB","PR","PE","PI","RN","RS","RO","RR","SC","SP","SE","TO"},0),19,20,20,18,20.5,20,20,17,19,23,17,17,18,19,20,19.5,20.5,22.5,20,17,19.5,20,17,18,20,20),"?"))</f>
        <v/>
      </c>
      <c r="K177" s="9"/>
    </row>
    <row r="178" spans="1:11" x14ac:dyDescent="0.25">
      <c r="A178" s="5" t="s">
        <v>365</v>
      </c>
      <c r="B178" s="5" t="s">
        <v>366</v>
      </c>
      <c r="C178" s="6"/>
      <c r="D178" s="6"/>
      <c r="E178" s="6"/>
      <c r="F178" s="7"/>
      <c r="G178" s="6"/>
      <c r="H178" s="6"/>
      <c r="I178" s="8">
        <f t="shared" si="2"/>
        <v>12</v>
      </c>
      <c r="J178" s="8" t="str">
        <f>IF(C178="","",IFERROR(CHOOSE(MATCH(C178,{"AC","AL","AM","AP","BA","CE","DF","ES","GO","MA","MT","MS","MG","PA","PB","PR","PE","PI","RN","RS","RO","RR","SC","SP","SE","TO"},0),19,20,20,18,20.5,20,20,17,19,23,17,17,18,19,20,19.5,20.5,22.5,20,17,19.5,20,17,18,20,20),"?"))</f>
        <v/>
      </c>
      <c r="K178" s="5"/>
    </row>
    <row r="179" spans="1:11" x14ac:dyDescent="0.25">
      <c r="A179" s="9" t="s">
        <v>367</v>
      </c>
      <c r="B179" s="9" t="s">
        <v>368</v>
      </c>
      <c r="C179" s="6"/>
      <c r="D179" s="6"/>
      <c r="E179" s="6"/>
      <c r="F179" s="7"/>
      <c r="G179" s="6"/>
      <c r="H179" s="6"/>
      <c r="I179" s="8">
        <f t="shared" si="2"/>
        <v>12</v>
      </c>
      <c r="J179" s="8" t="str">
        <f>IF(C179="","",IFERROR(CHOOSE(MATCH(C179,{"AC","AL","AM","AP","BA","CE","DF","ES","GO","MA","MT","MS","MG","PA","PB","PR","PE","PI","RN","RS","RO","RR","SC","SP","SE","TO"},0),19,20,20,18,20.5,20,20,17,19,23,17,17,18,19,20,19.5,20.5,22.5,20,17,19.5,20,17,18,20,20),"?"))</f>
        <v/>
      </c>
      <c r="K179" s="9"/>
    </row>
    <row r="180" spans="1:11" x14ac:dyDescent="0.25">
      <c r="A180" s="5" t="s">
        <v>369</v>
      </c>
      <c r="B180" s="5" t="s">
        <v>370</v>
      </c>
      <c r="C180" s="6"/>
      <c r="D180" s="6"/>
      <c r="E180" s="6"/>
      <c r="F180" s="7"/>
      <c r="G180" s="6"/>
      <c r="H180" s="6"/>
      <c r="I180" s="8">
        <f t="shared" si="2"/>
        <v>12</v>
      </c>
      <c r="J180" s="8" t="str">
        <f>IF(C180="","",IFERROR(CHOOSE(MATCH(C180,{"AC","AL","AM","AP","BA","CE","DF","ES","GO","MA","MT","MS","MG","PA","PB","PR","PE","PI","RN","RS","RO","RR","SC","SP","SE","TO"},0),19,20,20,18,20.5,20,20,17,19,23,17,17,18,19,20,19.5,20.5,22.5,20,17,19.5,20,17,18,20,20),"?"))</f>
        <v/>
      </c>
      <c r="K180" s="5"/>
    </row>
    <row r="181" spans="1:11" x14ac:dyDescent="0.25">
      <c r="A181" s="9" t="s">
        <v>371</v>
      </c>
      <c r="B181" s="9" t="s">
        <v>372</v>
      </c>
      <c r="C181" s="6"/>
      <c r="D181" s="6"/>
      <c r="E181" s="6"/>
      <c r="F181" s="7"/>
      <c r="G181" s="6"/>
      <c r="H181" s="6"/>
      <c r="I181" s="8">
        <f t="shared" si="2"/>
        <v>12</v>
      </c>
      <c r="J181" s="8" t="str">
        <f>IF(C181="","",IFERROR(CHOOSE(MATCH(C181,{"AC","AL","AM","AP","BA","CE","DF","ES","GO","MA","MT","MS","MG","PA","PB","PR","PE","PI","RN","RS","RO","RR","SC","SP","SE","TO"},0),19,20,20,18,20.5,20,20,17,19,23,17,17,18,19,20,19.5,20.5,22.5,20,17,19.5,20,17,18,20,20),"?"))</f>
        <v/>
      </c>
      <c r="K181" s="9"/>
    </row>
    <row r="182" spans="1:11" x14ac:dyDescent="0.25">
      <c r="A182" s="5" t="s">
        <v>373</v>
      </c>
      <c r="B182" s="5" t="s">
        <v>374</v>
      </c>
      <c r="C182" s="6"/>
      <c r="D182" s="6"/>
      <c r="E182" s="6"/>
      <c r="F182" s="7"/>
      <c r="G182" s="6"/>
      <c r="H182" s="6"/>
      <c r="I182" s="8">
        <f t="shared" si="2"/>
        <v>12</v>
      </c>
      <c r="J182" s="8" t="str">
        <f>IF(C182="","",IFERROR(CHOOSE(MATCH(C182,{"AC","AL","AM","AP","BA","CE","DF","ES","GO","MA","MT","MS","MG","PA","PB","PR","PE","PI","RN","RS","RO","RR","SC","SP","SE","TO"},0),19,20,20,18,20.5,20,20,17,19,23,17,17,18,19,20,19.5,20.5,22.5,20,17,19.5,20,17,18,20,20),"?"))</f>
        <v/>
      </c>
      <c r="K182" s="5"/>
    </row>
    <row r="183" spans="1:11" x14ac:dyDescent="0.25">
      <c r="A183" s="9" t="s">
        <v>375</v>
      </c>
      <c r="B183" s="9" t="s">
        <v>374</v>
      </c>
      <c r="C183" s="6"/>
      <c r="D183" s="6"/>
      <c r="E183" s="6"/>
      <c r="F183" s="7"/>
      <c r="G183" s="6"/>
      <c r="H183" s="6"/>
      <c r="I183" s="8">
        <f t="shared" si="2"/>
        <v>12</v>
      </c>
      <c r="J183" s="8" t="str">
        <f>IF(C183="","",IFERROR(CHOOSE(MATCH(C183,{"AC","AL","AM","AP","BA","CE","DF","ES","GO","MA","MT","MS","MG","PA","PB","PR","PE","PI","RN","RS","RO","RR","SC","SP","SE","TO"},0),19,20,20,18,20.5,20,20,17,19,23,17,17,18,19,20,19.5,20.5,22.5,20,17,19.5,20,17,18,20,20),"?"))</f>
        <v/>
      </c>
      <c r="K183" s="9"/>
    </row>
    <row r="184" spans="1:11" x14ac:dyDescent="0.25">
      <c r="A184" s="5" t="s">
        <v>376</v>
      </c>
      <c r="B184" s="5" t="s">
        <v>374</v>
      </c>
      <c r="C184" s="6"/>
      <c r="D184" s="6"/>
      <c r="E184" s="6"/>
      <c r="F184" s="7"/>
      <c r="G184" s="6"/>
      <c r="H184" s="6"/>
      <c r="I184" s="8">
        <f t="shared" si="2"/>
        <v>12</v>
      </c>
      <c r="J184" s="8" t="str">
        <f>IF(C184="","",IFERROR(CHOOSE(MATCH(C184,{"AC","AL","AM","AP","BA","CE","DF","ES","GO","MA","MT","MS","MG","PA","PB","PR","PE","PI","RN","RS","RO","RR","SC","SP","SE","TO"},0),19,20,20,18,20.5,20,20,17,19,23,17,17,18,19,20,19.5,20.5,22.5,20,17,19.5,20,17,18,20,20),"?"))</f>
        <v/>
      </c>
      <c r="K184" s="5"/>
    </row>
    <row r="185" spans="1:11" x14ac:dyDescent="0.25">
      <c r="A185" s="9" t="s">
        <v>377</v>
      </c>
      <c r="B185" s="9" t="s">
        <v>374</v>
      </c>
      <c r="C185" s="6"/>
      <c r="D185" s="6"/>
      <c r="E185" s="6"/>
      <c r="F185" s="7"/>
      <c r="G185" s="6"/>
      <c r="H185" s="6"/>
      <c r="I185" s="8">
        <f t="shared" si="2"/>
        <v>12</v>
      </c>
      <c r="J185" s="8" t="str">
        <f>IF(C185="","",IFERROR(CHOOSE(MATCH(C185,{"AC","AL","AM","AP","BA","CE","DF","ES","GO","MA","MT","MS","MG","PA","PB","PR","PE","PI","RN","RS","RO","RR","SC","SP","SE","TO"},0),19,20,20,18,20.5,20,20,17,19,23,17,17,18,19,20,19.5,20.5,22.5,20,17,19.5,20,17,18,20,20),"?"))</f>
        <v/>
      </c>
      <c r="K185" s="9"/>
    </row>
    <row r="186" spans="1:11" x14ac:dyDescent="0.25">
      <c r="A186" s="5" t="s">
        <v>378</v>
      </c>
      <c r="B186" s="5" t="s">
        <v>374</v>
      </c>
      <c r="C186" s="6"/>
      <c r="D186" s="6"/>
      <c r="E186" s="6"/>
      <c r="F186" s="7"/>
      <c r="G186" s="6"/>
      <c r="H186" s="6"/>
      <c r="I186" s="8">
        <f t="shared" si="2"/>
        <v>12</v>
      </c>
      <c r="J186" s="8" t="str">
        <f>IF(C186="","",IFERROR(CHOOSE(MATCH(C186,{"AC","AL","AM","AP","BA","CE","DF","ES","GO","MA","MT","MS","MG","PA","PB","PR","PE","PI","RN","RS","RO","RR","SC","SP","SE","TO"},0),19,20,20,18,20.5,20,20,17,19,23,17,17,18,19,20,19.5,20.5,22.5,20,17,19.5,20,17,18,20,20),"?"))</f>
        <v/>
      </c>
      <c r="K186" s="5"/>
    </row>
    <row r="187" spans="1:11" x14ac:dyDescent="0.25">
      <c r="A187" s="9" t="s">
        <v>379</v>
      </c>
      <c r="B187" s="9" t="s">
        <v>380</v>
      </c>
      <c r="C187" s="6"/>
      <c r="D187" s="6"/>
      <c r="E187" s="6"/>
      <c r="F187" s="7"/>
      <c r="G187" s="6"/>
      <c r="H187" s="6"/>
      <c r="I187" s="8">
        <f t="shared" si="2"/>
        <v>12</v>
      </c>
      <c r="J187" s="8" t="str">
        <f>IF(C187="","",IFERROR(CHOOSE(MATCH(C187,{"AC","AL","AM","AP","BA","CE","DF","ES","GO","MA","MT","MS","MG","PA","PB","PR","PE","PI","RN","RS","RO","RR","SC","SP","SE","TO"},0),19,20,20,18,20.5,20,20,17,19,23,17,17,18,19,20,19.5,20.5,22.5,20,17,19.5,20,17,18,20,20),"?"))</f>
        <v/>
      </c>
      <c r="K187" s="9"/>
    </row>
    <row r="188" spans="1:11" x14ac:dyDescent="0.25">
      <c r="A188" s="5" t="s">
        <v>381</v>
      </c>
      <c r="B188" s="5" t="s">
        <v>382</v>
      </c>
      <c r="C188" s="6"/>
      <c r="D188" s="6"/>
      <c r="E188" s="6"/>
      <c r="F188" s="7"/>
      <c r="G188" s="6"/>
      <c r="H188" s="6"/>
      <c r="I188" s="8">
        <f t="shared" si="2"/>
        <v>12</v>
      </c>
      <c r="J188" s="8" t="str">
        <f>IF(C188="","",IFERROR(CHOOSE(MATCH(C188,{"AC","AL","AM","AP","BA","CE","DF","ES","GO","MA","MT","MS","MG","PA","PB","PR","PE","PI","RN","RS","RO","RR","SC","SP","SE","TO"},0),19,20,20,18,20.5,20,20,17,19,23,17,17,18,19,20,19.5,20.5,22.5,20,17,19.5,20,17,18,20,20),"?"))</f>
        <v/>
      </c>
      <c r="K188" s="5"/>
    </row>
    <row r="189" spans="1:11" x14ac:dyDescent="0.25">
      <c r="A189" s="9" t="s">
        <v>381</v>
      </c>
      <c r="B189" s="9" t="s">
        <v>383</v>
      </c>
      <c r="C189" s="6"/>
      <c r="D189" s="6"/>
      <c r="E189" s="6"/>
      <c r="F189" s="7"/>
      <c r="G189" s="6"/>
      <c r="H189" s="6"/>
      <c r="I189" s="8">
        <f t="shared" si="2"/>
        <v>12</v>
      </c>
      <c r="J189" s="8" t="str">
        <f>IF(C189="","",IFERROR(CHOOSE(MATCH(C189,{"AC","AL","AM","AP","BA","CE","DF","ES","GO","MA","MT","MS","MG","PA","PB","PR","PE","PI","RN","RS","RO","RR","SC","SP","SE","TO"},0),19,20,20,18,20.5,20,20,17,19,23,17,17,18,19,20,19.5,20.5,22.5,20,17,19.5,20,17,18,20,20),"?"))</f>
        <v/>
      </c>
      <c r="K189" s="9"/>
    </row>
    <row r="190" spans="1:11" x14ac:dyDescent="0.25">
      <c r="A190" s="5" t="s">
        <v>384</v>
      </c>
      <c r="B190" s="5" t="s">
        <v>382</v>
      </c>
      <c r="C190" s="6"/>
      <c r="D190" s="6"/>
      <c r="E190" s="6"/>
      <c r="F190" s="7"/>
      <c r="G190" s="6"/>
      <c r="H190" s="6"/>
      <c r="I190" s="8">
        <f t="shared" si="2"/>
        <v>12</v>
      </c>
      <c r="J190" s="8" t="str">
        <f>IF(C190="","",IFERROR(CHOOSE(MATCH(C190,{"AC","AL","AM","AP","BA","CE","DF","ES","GO","MA","MT","MS","MG","PA","PB","PR","PE","PI","RN","RS","RO","RR","SC","SP","SE","TO"},0),19,20,20,18,20.5,20,20,17,19,23,17,17,18,19,20,19.5,20.5,22.5,20,17,19.5,20,17,18,20,20),"?"))</f>
        <v/>
      </c>
      <c r="K190" s="5"/>
    </row>
    <row r="191" spans="1:11" x14ac:dyDescent="0.25">
      <c r="A191" s="9" t="s">
        <v>385</v>
      </c>
      <c r="B191" s="9" t="s">
        <v>386</v>
      </c>
      <c r="C191" s="6"/>
      <c r="D191" s="6"/>
      <c r="E191" s="6"/>
      <c r="F191" s="7"/>
      <c r="G191" s="6"/>
      <c r="H191" s="6"/>
      <c r="I191" s="8">
        <f t="shared" si="2"/>
        <v>12</v>
      </c>
      <c r="J191" s="8" t="str">
        <f>IF(C191="","",IFERROR(CHOOSE(MATCH(C191,{"AC","AL","AM","AP","BA","CE","DF","ES","GO","MA","MT","MS","MG","PA","PB","PR","PE","PI","RN","RS","RO","RR","SC","SP","SE","TO"},0),19,20,20,18,20.5,20,20,17,19,23,17,17,18,19,20,19.5,20.5,22.5,20,17,19.5,20,17,18,20,20),"?"))</f>
        <v/>
      </c>
      <c r="K191" s="9"/>
    </row>
    <row r="192" spans="1:11" x14ac:dyDescent="0.25">
      <c r="A192" s="5" t="s">
        <v>387</v>
      </c>
      <c r="B192" s="5" t="s">
        <v>388</v>
      </c>
      <c r="C192" s="6"/>
      <c r="D192" s="6"/>
      <c r="E192" s="6"/>
      <c r="F192" s="7"/>
      <c r="G192" s="6"/>
      <c r="H192" s="6"/>
      <c r="I192" s="8">
        <f t="shared" si="2"/>
        <v>12</v>
      </c>
      <c r="J192" s="8" t="str">
        <f>IF(C192="","",IFERROR(CHOOSE(MATCH(C192,{"AC","AL","AM","AP","BA","CE","DF","ES","GO","MA","MT","MS","MG","PA","PB","PR","PE","PI","RN","RS","RO","RR","SC","SP","SE","TO"},0),19,20,20,18,20.5,20,20,17,19,23,17,17,18,19,20,19.5,20.5,22.5,20,17,19.5,20,17,18,20,20),"?"))</f>
        <v/>
      </c>
      <c r="K192" s="5"/>
    </row>
    <row r="193" spans="1:11" x14ac:dyDescent="0.25">
      <c r="A193" s="9" t="s">
        <v>389</v>
      </c>
      <c r="B193" s="9" t="s">
        <v>390</v>
      </c>
      <c r="C193" s="6"/>
      <c r="D193" s="6"/>
      <c r="E193" s="6"/>
      <c r="F193" s="7"/>
      <c r="G193" s="6"/>
      <c r="H193" s="6"/>
      <c r="I193" s="8">
        <f t="shared" si="2"/>
        <v>12</v>
      </c>
      <c r="J193" s="8" t="str">
        <f>IF(C193="","",IFERROR(CHOOSE(MATCH(C193,{"AC","AL","AM","AP","BA","CE","DF","ES","GO","MA","MT","MS","MG","PA","PB","PR","PE","PI","RN","RS","RO","RR","SC","SP","SE","TO"},0),19,20,20,18,20.5,20,20,17,19,23,17,17,18,19,20,19.5,20.5,22.5,20,17,19.5,20,17,18,20,20),"?"))</f>
        <v/>
      </c>
      <c r="K193" s="9"/>
    </row>
    <row r="194" spans="1:11" x14ac:dyDescent="0.25">
      <c r="A194" s="5" t="s">
        <v>389</v>
      </c>
      <c r="B194" s="5" t="s">
        <v>391</v>
      </c>
      <c r="C194" s="6"/>
      <c r="D194" s="6"/>
      <c r="E194" s="6"/>
      <c r="F194" s="7"/>
      <c r="G194" s="6"/>
      <c r="H194" s="6"/>
      <c r="I194" s="8">
        <f t="shared" si="2"/>
        <v>12</v>
      </c>
      <c r="J194" s="8" t="str">
        <f>IF(C194="","",IFERROR(CHOOSE(MATCH(C194,{"AC","AL","AM","AP","BA","CE","DF","ES","GO","MA","MT","MS","MG","PA","PB","PR","PE","PI","RN","RS","RO","RR","SC","SP","SE","TO"},0),19,20,20,18,20.5,20,20,17,19,23,17,17,18,19,20,19.5,20.5,22.5,20,17,19.5,20,17,18,20,20),"?"))</f>
        <v/>
      </c>
      <c r="K194" s="5"/>
    </row>
    <row r="195" spans="1:11" x14ac:dyDescent="0.25">
      <c r="A195" s="9" t="s">
        <v>392</v>
      </c>
      <c r="B195" s="9" t="s">
        <v>393</v>
      </c>
      <c r="C195" s="6"/>
      <c r="D195" s="6"/>
      <c r="E195" s="6"/>
      <c r="F195" s="7"/>
      <c r="G195" s="6"/>
      <c r="H195" s="6"/>
      <c r="I195" s="8">
        <f t="shared" si="2"/>
        <v>12</v>
      </c>
      <c r="J195" s="8" t="str">
        <f>IF(C195="","",IFERROR(CHOOSE(MATCH(C195,{"AC","AL","AM","AP","BA","CE","DF","ES","GO","MA","MT","MS","MG","PA","PB","PR","PE","PI","RN","RS","RO","RR","SC","SP","SE","TO"},0),19,20,20,18,20.5,20,20,17,19,23,17,17,18,19,20,19.5,20.5,22.5,20,17,19.5,20,17,18,20,20),"?"))</f>
        <v/>
      </c>
      <c r="K195" s="9"/>
    </row>
    <row r="196" spans="1:11" x14ac:dyDescent="0.25">
      <c r="A196" s="5" t="s">
        <v>394</v>
      </c>
      <c r="B196" s="5" t="s">
        <v>395</v>
      </c>
      <c r="C196" s="6"/>
      <c r="D196" s="6"/>
      <c r="E196" s="6"/>
      <c r="F196" s="7"/>
      <c r="G196" s="6"/>
      <c r="H196" s="6"/>
      <c r="I196" s="8">
        <f t="shared" ref="I196:I259" si="3">IF(G196="SIM",4,IF(OR(C196="MG",C196="SP",C196="PR",C196="RS",C196="SC",C196="ES"),7,12))</f>
        <v>12</v>
      </c>
      <c r="J196" s="8" t="str">
        <f>IF(C196="","",IFERROR(CHOOSE(MATCH(C196,{"AC","AL","AM","AP","BA","CE","DF","ES","GO","MA","MT","MS","MG","PA","PB","PR","PE","PI","RN","RS","RO","RR","SC","SP","SE","TO"},0),19,20,20,18,20.5,20,20,17,19,23,17,17,18,19,20,19.5,20.5,22.5,20,17,19.5,20,17,18,20,20),"?"))</f>
        <v/>
      </c>
      <c r="K196" s="5"/>
    </row>
    <row r="197" spans="1:11" x14ac:dyDescent="0.25">
      <c r="A197" s="9" t="s">
        <v>396</v>
      </c>
      <c r="B197" s="9" t="s">
        <v>397</v>
      </c>
      <c r="C197" s="6"/>
      <c r="D197" s="6"/>
      <c r="E197" s="6"/>
      <c r="F197" s="7"/>
      <c r="G197" s="6"/>
      <c r="H197" s="6"/>
      <c r="I197" s="8">
        <f t="shared" si="3"/>
        <v>12</v>
      </c>
      <c r="J197" s="8" t="str">
        <f>IF(C197="","",IFERROR(CHOOSE(MATCH(C197,{"AC","AL","AM","AP","BA","CE","DF","ES","GO","MA","MT","MS","MG","PA","PB","PR","PE","PI","RN","RS","RO","RR","SC","SP","SE","TO"},0),19,20,20,18,20.5,20,20,17,19,23,17,17,18,19,20,19.5,20.5,22.5,20,17,19.5,20,17,18,20,20),"?"))</f>
        <v/>
      </c>
      <c r="K197" s="9"/>
    </row>
    <row r="198" spans="1:11" x14ac:dyDescent="0.25">
      <c r="A198" s="5" t="s">
        <v>398</v>
      </c>
      <c r="B198" s="5" t="s">
        <v>399</v>
      </c>
      <c r="C198" s="6"/>
      <c r="D198" s="6"/>
      <c r="E198" s="6"/>
      <c r="F198" s="7"/>
      <c r="G198" s="6"/>
      <c r="H198" s="6"/>
      <c r="I198" s="8">
        <f t="shared" si="3"/>
        <v>12</v>
      </c>
      <c r="J198" s="8" t="str">
        <f>IF(C198="","",IFERROR(CHOOSE(MATCH(C198,{"AC","AL","AM","AP","BA","CE","DF","ES","GO","MA","MT","MS","MG","PA","PB","PR","PE","PI","RN","RS","RO","RR","SC","SP","SE","TO"},0),19,20,20,18,20.5,20,20,17,19,23,17,17,18,19,20,19.5,20.5,22.5,20,17,19.5,20,17,18,20,20),"?"))</f>
        <v/>
      </c>
      <c r="K198" s="5"/>
    </row>
    <row r="199" spans="1:11" x14ac:dyDescent="0.25">
      <c r="A199" s="9" t="s">
        <v>400</v>
      </c>
      <c r="B199" s="9" t="s">
        <v>401</v>
      </c>
      <c r="C199" s="6"/>
      <c r="D199" s="6"/>
      <c r="E199" s="6"/>
      <c r="F199" s="7"/>
      <c r="G199" s="6"/>
      <c r="H199" s="6"/>
      <c r="I199" s="8">
        <f t="shared" si="3"/>
        <v>12</v>
      </c>
      <c r="J199" s="8" t="str">
        <f>IF(C199="","",IFERROR(CHOOSE(MATCH(C199,{"AC","AL","AM","AP","BA","CE","DF","ES","GO","MA","MT","MS","MG","PA","PB","PR","PE","PI","RN","RS","RO","RR","SC","SP","SE","TO"},0),19,20,20,18,20.5,20,20,17,19,23,17,17,18,19,20,19.5,20.5,22.5,20,17,19.5,20,17,18,20,20),"?"))</f>
        <v/>
      </c>
      <c r="K199" s="9"/>
    </row>
    <row r="200" spans="1:11" x14ac:dyDescent="0.25">
      <c r="A200" s="5" t="s">
        <v>402</v>
      </c>
      <c r="B200" s="5" t="s">
        <v>403</v>
      </c>
      <c r="C200" s="6"/>
      <c r="D200" s="6"/>
      <c r="E200" s="6"/>
      <c r="F200" s="7"/>
      <c r="G200" s="6"/>
      <c r="H200" s="6"/>
      <c r="I200" s="8">
        <f t="shared" si="3"/>
        <v>12</v>
      </c>
      <c r="J200" s="8" t="str">
        <f>IF(C200="","",IFERROR(CHOOSE(MATCH(C200,{"AC","AL","AM","AP","BA","CE","DF","ES","GO","MA","MT","MS","MG","PA","PB","PR","PE","PI","RN","RS","RO","RR","SC","SP","SE","TO"},0),19,20,20,18,20.5,20,20,17,19,23,17,17,18,19,20,19.5,20.5,22.5,20,17,19.5,20,17,18,20,20),"?"))</f>
        <v/>
      </c>
      <c r="K200" s="5"/>
    </row>
    <row r="201" spans="1:11" x14ac:dyDescent="0.25">
      <c r="A201" s="9" t="s">
        <v>404</v>
      </c>
      <c r="B201" s="9" t="s">
        <v>405</v>
      </c>
      <c r="C201" s="6"/>
      <c r="D201" s="6"/>
      <c r="E201" s="6"/>
      <c r="F201" s="7"/>
      <c r="G201" s="6"/>
      <c r="H201" s="6"/>
      <c r="I201" s="8">
        <f t="shared" si="3"/>
        <v>12</v>
      </c>
      <c r="J201" s="8" t="str">
        <f>IF(C201="","",IFERROR(CHOOSE(MATCH(C201,{"AC","AL","AM","AP","BA","CE","DF","ES","GO","MA","MT","MS","MG","PA","PB","PR","PE","PI","RN","RS","RO","RR","SC","SP","SE","TO"},0),19,20,20,18,20.5,20,20,17,19,23,17,17,18,19,20,19.5,20.5,22.5,20,17,19.5,20,17,18,20,20),"?"))</f>
        <v/>
      </c>
      <c r="K201" s="9"/>
    </row>
    <row r="202" spans="1:11" x14ac:dyDescent="0.25">
      <c r="A202" s="5" t="s">
        <v>406</v>
      </c>
      <c r="B202" s="5" t="s">
        <v>407</v>
      </c>
      <c r="C202" s="6"/>
      <c r="D202" s="6"/>
      <c r="E202" s="6"/>
      <c r="F202" s="7"/>
      <c r="G202" s="6"/>
      <c r="H202" s="6"/>
      <c r="I202" s="8">
        <f t="shared" si="3"/>
        <v>12</v>
      </c>
      <c r="J202" s="8" t="str">
        <f>IF(C202="","",IFERROR(CHOOSE(MATCH(C202,{"AC","AL","AM","AP","BA","CE","DF","ES","GO","MA","MT","MS","MG","PA","PB","PR","PE","PI","RN","RS","RO","RR","SC","SP","SE","TO"},0),19,20,20,18,20.5,20,20,17,19,23,17,17,18,19,20,19.5,20.5,22.5,20,17,19.5,20,17,18,20,20),"?"))</f>
        <v/>
      </c>
      <c r="K202" s="5"/>
    </row>
    <row r="203" spans="1:11" x14ac:dyDescent="0.25">
      <c r="A203" s="9" t="s">
        <v>408</v>
      </c>
      <c r="B203" s="9" t="s">
        <v>409</v>
      </c>
      <c r="C203" s="6"/>
      <c r="D203" s="6"/>
      <c r="E203" s="6"/>
      <c r="F203" s="7"/>
      <c r="G203" s="6"/>
      <c r="H203" s="6"/>
      <c r="I203" s="8">
        <f t="shared" si="3"/>
        <v>12</v>
      </c>
      <c r="J203" s="8" t="str">
        <f>IF(C203="","",IFERROR(CHOOSE(MATCH(C203,{"AC","AL","AM","AP","BA","CE","DF","ES","GO","MA","MT","MS","MG","PA","PB","PR","PE","PI","RN","RS","RO","RR","SC","SP","SE","TO"},0),19,20,20,18,20.5,20,20,17,19,23,17,17,18,19,20,19.5,20.5,22.5,20,17,19.5,20,17,18,20,20),"?"))</f>
        <v/>
      </c>
      <c r="K203" s="9"/>
    </row>
    <row r="204" spans="1:11" x14ac:dyDescent="0.25">
      <c r="A204" s="5" t="s">
        <v>410</v>
      </c>
      <c r="B204" s="5" t="s">
        <v>411</v>
      </c>
      <c r="C204" s="6"/>
      <c r="D204" s="6"/>
      <c r="E204" s="6"/>
      <c r="F204" s="7"/>
      <c r="G204" s="6"/>
      <c r="H204" s="6"/>
      <c r="I204" s="8">
        <f t="shared" si="3"/>
        <v>12</v>
      </c>
      <c r="J204" s="8" t="str">
        <f>IF(C204="","",IFERROR(CHOOSE(MATCH(C204,{"AC","AL","AM","AP","BA","CE","DF","ES","GO","MA","MT","MS","MG","PA","PB","PR","PE","PI","RN","RS","RO","RR","SC","SP","SE","TO"},0),19,20,20,18,20.5,20,20,17,19,23,17,17,18,19,20,19.5,20.5,22.5,20,17,19.5,20,17,18,20,20),"?"))</f>
        <v/>
      </c>
      <c r="K204" s="5"/>
    </row>
    <row r="205" spans="1:11" x14ac:dyDescent="0.25">
      <c r="A205" s="9" t="s">
        <v>412</v>
      </c>
      <c r="B205" s="9" t="s">
        <v>413</v>
      </c>
      <c r="C205" s="6"/>
      <c r="D205" s="6"/>
      <c r="E205" s="6"/>
      <c r="F205" s="7"/>
      <c r="G205" s="6"/>
      <c r="H205" s="6"/>
      <c r="I205" s="8">
        <f t="shared" si="3"/>
        <v>12</v>
      </c>
      <c r="J205" s="8" t="str">
        <f>IF(C205="","",IFERROR(CHOOSE(MATCH(C205,{"AC","AL","AM","AP","BA","CE","DF","ES","GO","MA","MT","MS","MG","PA","PB","PR","PE","PI","RN","RS","RO","RR","SC","SP","SE","TO"},0),19,20,20,18,20.5,20,20,17,19,23,17,17,18,19,20,19.5,20.5,22.5,20,17,19.5,20,17,18,20,20),"?"))</f>
        <v/>
      </c>
      <c r="K205" s="9"/>
    </row>
    <row r="206" spans="1:11" x14ac:dyDescent="0.25">
      <c r="A206" s="5" t="s">
        <v>414</v>
      </c>
      <c r="B206" s="5" t="s">
        <v>415</v>
      </c>
      <c r="C206" s="6"/>
      <c r="D206" s="6"/>
      <c r="E206" s="6"/>
      <c r="F206" s="7"/>
      <c r="G206" s="6"/>
      <c r="H206" s="6"/>
      <c r="I206" s="8">
        <f t="shared" si="3"/>
        <v>12</v>
      </c>
      <c r="J206" s="8" t="str">
        <f>IF(C206="","",IFERROR(CHOOSE(MATCH(C206,{"AC","AL","AM","AP","BA","CE","DF","ES","GO","MA","MT","MS","MG","PA","PB","PR","PE","PI","RN","RS","RO","RR","SC","SP","SE","TO"},0),19,20,20,18,20.5,20,20,17,19,23,17,17,18,19,20,19.5,20.5,22.5,20,17,19.5,20,17,18,20,20),"?"))</f>
        <v/>
      </c>
      <c r="K206" s="5"/>
    </row>
    <row r="207" spans="1:11" x14ac:dyDescent="0.25">
      <c r="A207" s="9" t="s">
        <v>416</v>
      </c>
      <c r="B207" s="9" t="s">
        <v>417</v>
      </c>
      <c r="C207" s="6"/>
      <c r="D207" s="6"/>
      <c r="E207" s="6"/>
      <c r="F207" s="7"/>
      <c r="G207" s="6"/>
      <c r="H207" s="6"/>
      <c r="I207" s="8">
        <f t="shared" si="3"/>
        <v>12</v>
      </c>
      <c r="J207" s="8" t="str">
        <f>IF(C207="","",IFERROR(CHOOSE(MATCH(C207,{"AC","AL","AM","AP","BA","CE","DF","ES","GO","MA","MT","MS","MG","PA","PB","PR","PE","PI","RN","RS","RO","RR","SC","SP","SE","TO"},0),19,20,20,18,20.5,20,20,17,19,23,17,17,18,19,20,19.5,20.5,22.5,20,17,19.5,20,17,18,20,20),"?"))</f>
        <v/>
      </c>
      <c r="K207" s="9"/>
    </row>
    <row r="208" spans="1:11" x14ac:dyDescent="0.25">
      <c r="A208" s="5" t="s">
        <v>418</v>
      </c>
      <c r="B208" s="5" t="s">
        <v>419</v>
      </c>
      <c r="C208" s="6"/>
      <c r="D208" s="6"/>
      <c r="E208" s="6"/>
      <c r="F208" s="7"/>
      <c r="G208" s="6"/>
      <c r="H208" s="6"/>
      <c r="I208" s="8">
        <f t="shared" si="3"/>
        <v>12</v>
      </c>
      <c r="J208" s="8" t="str">
        <f>IF(C208="","",IFERROR(CHOOSE(MATCH(C208,{"AC","AL","AM","AP","BA","CE","DF","ES","GO","MA","MT","MS","MG","PA","PB","PR","PE","PI","RN","RS","RO","RR","SC","SP","SE","TO"},0),19,20,20,18,20.5,20,20,17,19,23,17,17,18,19,20,19.5,20.5,22.5,20,17,19.5,20,17,18,20,20),"?"))</f>
        <v/>
      </c>
      <c r="K208" s="5"/>
    </row>
    <row r="209" spans="1:11" x14ac:dyDescent="0.25">
      <c r="A209" s="9" t="s">
        <v>420</v>
      </c>
      <c r="B209" s="9" t="s">
        <v>421</v>
      </c>
      <c r="C209" s="6"/>
      <c r="D209" s="6"/>
      <c r="E209" s="6"/>
      <c r="F209" s="7"/>
      <c r="G209" s="6"/>
      <c r="H209" s="6"/>
      <c r="I209" s="8">
        <f t="shared" si="3"/>
        <v>12</v>
      </c>
      <c r="J209" s="8" t="str">
        <f>IF(C209="","",IFERROR(CHOOSE(MATCH(C209,{"AC","AL","AM","AP","BA","CE","DF","ES","GO","MA","MT","MS","MG","PA","PB","PR","PE","PI","RN","RS","RO","RR","SC","SP","SE","TO"},0),19,20,20,18,20.5,20,20,17,19,23,17,17,18,19,20,19.5,20.5,22.5,20,17,19.5,20,17,18,20,20),"?"))</f>
        <v/>
      </c>
      <c r="K209" s="9"/>
    </row>
    <row r="210" spans="1:11" x14ac:dyDescent="0.25">
      <c r="A210" s="5" t="s">
        <v>422</v>
      </c>
      <c r="B210" s="5" t="s">
        <v>423</v>
      </c>
      <c r="C210" s="6"/>
      <c r="D210" s="6"/>
      <c r="E210" s="6"/>
      <c r="F210" s="7"/>
      <c r="G210" s="6"/>
      <c r="H210" s="6"/>
      <c r="I210" s="8">
        <f t="shared" si="3"/>
        <v>12</v>
      </c>
      <c r="J210" s="8" t="str">
        <f>IF(C210="","",IFERROR(CHOOSE(MATCH(C210,{"AC","AL","AM","AP","BA","CE","DF","ES","GO","MA","MT","MS","MG","PA","PB","PR","PE","PI","RN","RS","RO","RR","SC","SP","SE","TO"},0),19,20,20,18,20.5,20,20,17,19,23,17,17,18,19,20,19.5,20.5,22.5,20,17,19.5,20,17,18,20,20),"?"))</f>
        <v/>
      </c>
      <c r="K210" s="5"/>
    </row>
    <row r="211" spans="1:11" x14ac:dyDescent="0.25">
      <c r="A211" s="9" t="s">
        <v>424</v>
      </c>
      <c r="B211" s="9" t="s">
        <v>425</v>
      </c>
      <c r="C211" s="6"/>
      <c r="D211" s="6"/>
      <c r="E211" s="6"/>
      <c r="F211" s="7"/>
      <c r="G211" s="6"/>
      <c r="H211" s="6"/>
      <c r="I211" s="8">
        <f t="shared" si="3"/>
        <v>12</v>
      </c>
      <c r="J211" s="8" t="str">
        <f>IF(C211="","",IFERROR(CHOOSE(MATCH(C211,{"AC","AL","AM","AP","BA","CE","DF","ES","GO","MA","MT","MS","MG","PA","PB","PR","PE","PI","RN","RS","RO","RR","SC","SP","SE","TO"},0),19,20,20,18,20.5,20,20,17,19,23,17,17,18,19,20,19.5,20.5,22.5,20,17,19.5,20,17,18,20,20),"?"))</f>
        <v/>
      </c>
      <c r="K211" s="9"/>
    </row>
    <row r="212" spans="1:11" x14ac:dyDescent="0.25">
      <c r="A212" s="5" t="s">
        <v>426</v>
      </c>
      <c r="B212" s="5" t="s">
        <v>427</v>
      </c>
      <c r="C212" s="6"/>
      <c r="D212" s="6"/>
      <c r="E212" s="6"/>
      <c r="F212" s="7"/>
      <c r="G212" s="6"/>
      <c r="H212" s="6"/>
      <c r="I212" s="8">
        <f t="shared" si="3"/>
        <v>12</v>
      </c>
      <c r="J212" s="8" t="str">
        <f>IF(C212="","",IFERROR(CHOOSE(MATCH(C212,{"AC","AL","AM","AP","BA","CE","DF","ES","GO","MA","MT","MS","MG","PA","PB","PR","PE","PI","RN","RS","RO","RR","SC","SP","SE","TO"},0),19,20,20,18,20.5,20,20,17,19,23,17,17,18,19,20,19.5,20.5,22.5,20,17,19.5,20,17,18,20,20),"?"))</f>
        <v/>
      </c>
      <c r="K212" s="5"/>
    </row>
    <row r="213" spans="1:11" x14ac:dyDescent="0.25">
      <c r="A213" s="9" t="s">
        <v>428</v>
      </c>
      <c r="B213" s="9" t="s">
        <v>429</v>
      </c>
      <c r="C213" s="6"/>
      <c r="D213" s="6"/>
      <c r="E213" s="6"/>
      <c r="F213" s="7"/>
      <c r="G213" s="6"/>
      <c r="H213" s="6"/>
      <c r="I213" s="8">
        <f t="shared" si="3"/>
        <v>12</v>
      </c>
      <c r="J213" s="8" t="str">
        <f>IF(C213="","",IFERROR(CHOOSE(MATCH(C213,{"AC","AL","AM","AP","BA","CE","DF","ES","GO","MA","MT","MS","MG","PA","PB","PR","PE","PI","RN","RS","RO","RR","SC","SP","SE","TO"},0),19,20,20,18,20.5,20,20,17,19,23,17,17,18,19,20,19.5,20.5,22.5,20,17,19.5,20,17,18,20,20),"?"))</f>
        <v/>
      </c>
      <c r="K213" s="9"/>
    </row>
    <row r="214" spans="1:11" x14ac:dyDescent="0.25">
      <c r="A214" s="5" t="s">
        <v>430</v>
      </c>
      <c r="B214" s="5" t="s">
        <v>429</v>
      </c>
      <c r="C214" s="6"/>
      <c r="D214" s="6"/>
      <c r="E214" s="6"/>
      <c r="F214" s="7"/>
      <c r="G214" s="6"/>
      <c r="H214" s="6"/>
      <c r="I214" s="8">
        <f t="shared" si="3"/>
        <v>12</v>
      </c>
      <c r="J214" s="8" t="str">
        <f>IF(C214="","",IFERROR(CHOOSE(MATCH(C214,{"AC","AL","AM","AP","BA","CE","DF","ES","GO","MA","MT","MS","MG","PA","PB","PR","PE","PI","RN","RS","RO","RR","SC","SP","SE","TO"},0),19,20,20,18,20.5,20,20,17,19,23,17,17,18,19,20,19.5,20.5,22.5,20,17,19.5,20,17,18,20,20),"?"))</f>
        <v/>
      </c>
      <c r="K214" s="5"/>
    </row>
    <row r="215" spans="1:11" x14ac:dyDescent="0.25">
      <c r="A215" s="9" t="s">
        <v>431</v>
      </c>
      <c r="B215" s="9" t="s">
        <v>432</v>
      </c>
      <c r="C215" s="6"/>
      <c r="D215" s="6"/>
      <c r="E215" s="6"/>
      <c r="F215" s="7"/>
      <c r="G215" s="6"/>
      <c r="H215" s="6"/>
      <c r="I215" s="8">
        <f t="shared" si="3"/>
        <v>12</v>
      </c>
      <c r="J215" s="8" t="str">
        <f>IF(C215="","",IFERROR(CHOOSE(MATCH(C215,{"AC","AL","AM","AP","BA","CE","DF","ES","GO","MA","MT","MS","MG","PA","PB","PR","PE","PI","RN","RS","RO","RR","SC","SP","SE","TO"},0),19,20,20,18,20.5,20,20,17,19,23,17,17,18,19,20,19.5,20.5,22.5,20,17,19.5,20,17,18,20,20),"?"))</f>
        <v/>
      </c>
      <c r="K215" s="9"/>
    </row>
    <row r="216" spans="1:11" x14ac:dyDescent="0.25">
      <c r="A216" s="5" t="s">
        <v>433</v>
      </c>
      <c r="B216" s="5" t="s">
        <v>434</v>
      </c>
      <c r="C216" s="6"/>
      <c r="D216" s="6"/>
      <c r="E216" s="6"/>
      <c r="F216" s="7"/>
      <c r="G216" s="6"/>
      <c r="H216" s="6"/>
      <c r="I216" s="8">
        <f t="shared" si="3"/>
        <v>12</v>
      </c>
      <c r="J216" s="8" t="str">
        <f>IF(C216="","",IFERROR(CHOOSE(MATCH(C216,{"AC","AL","AM","AP","BA","CE","DF","ES","GO","MA","MT","MS","MG","PA","PB","PR","PE","PI","RN","RS","RO","RR","SC","SP","SE","TO"},0),19,20,20,18,20.5,20,20,17,19,23,17,17,18,19,20,19.5,20.5,22.5,20,17,19.5,20,17,18,20,20),"?"))</f>
        <v/>
      </c>
      <c r="K216" s="5"/>
    </row>
    <row r="217" spans="1:11" x14ac:dyDescent="0.25">
      <c r="A217" s="9" t="s">
        <v>435</v>
      </c>
      <c r="B217" s="9" t="s">
        <v>436</v>
      </c>
      <c r="C217" s="6"/>
      <c r="D217" s="6"/>
      <c r="E217" s="6"/>
      <c r="F217" s="7"/>
      <c r="G217" s="6"/>
      <c r="H217" s="6"/>
      <c r="I217" s="8">
        <f t="shared" si="3"/>
        <v>12</v>
      </c>
      <c r="J217" s="8" t="str">
        <f>IF(C217="","",IFERROR(CHOOSE(MATCH(C217,{"AC","AL","AM","AP","BA","CE","DF","ES","GO","MA","MT","MS","MG","PA","PB","PR","PE","PI","RN","RS","RO","RR","SC","SP","SE","TO"},0),19,20,20,18,20.5,20,20,17,19,23,17,17,18,19,20,19.5,20.5,22.5,20,17,19.5,20,17,18,20,20),"?"))</f>
        <v/>
      </c>
      <c r="K217" s="9"/>
    </row>
    <row r="218" spans="1:11" x14ac:dyDescent="0.25">
      <c r="A218" s="5" t="s">
        <v>437</v>
      </c>
      <c r="B218" s="5" t="s">
        <v>438</v>
      </c>
      <c r="C218" s="6"/>
      <c r="D218" s="6"/>
      <c r="E218" s="6"/>
      <c r="F218" s="7"/>
      <c r="G218" s="6"/>
      <c r="H218" s="6"/>
      <c r="I218" s="8">
        <f t="shared" si="3"/>
        <v>12</v>
      </c>
      <c r="J218" s="8" t="str">
        <f>IF(C218="","",IFERROR(CHOOSE(MATCH(C218,{"AC","AL","AM","AP","BA","CE","DF","ES","GO","MA","MT","MS","MG","PA","PB","PR","PE","PI","RN","RS","RO","RR","SC","SP","SE","TO"},0),19,20,20,18,20.5,20,20,17,19,23,17,17,18,19,20,19.5,20.5,22.5,20,17,19.5,20,17,18,20,20),"?"))</f>
        <v/>
      </c>
      <c r="K218" s="5"/>
    </row>
    <row r="219" spans="1:11" x14ac:dyDescent="0.25">
      <c r="A219" s="9" t="s">
        <v>439</v>
      </c>
      <c r="B219" s="9" t="s">
        <v>440</v>
      </c>
      <c r="C219" s="6"/>
      <c r="D219" s="6"/>
      <c r="E219" s="6"/>
      <c r="F219" s="7"/>
      <c r="G219" s="6"/>
      <c r="H219" s="6"/>
      <c r="I219" s="8">
        <f t="shared" si="3"/>
        <v>12</v>
      </c>
      <c r="J219" s="8" t="str">
        <f>IF(C219="","",IFERROR(CHOOSE(MATCH(C219,{"AC","AL","AM","AP","BA","CE","DF","ES","GO","MA","MT","MS","MG","PA","PB","PR","PE","PI","RN","RS","RO","RR","SC","SP","SE","TO"},0),19,20,20,18,20.5,20,20,17,19,23,17,17,18,19,20,19.5,20.5,22.5,20,17,19.5,20,17,18,20,20),"?"))</f>
        <v/>
      </c>
      <c r="K219" s="9"/>
    </row>
    <row r="220" spans="1:11" x14ac:dyDescent="0.25">
      <c r="A220" s="5" t="s">
        <v>441</v>
      </c>
      <c r="B220" s="5" t="s">
        <v>442</v>
      </c>
      <c r="C220" s="6"/>
      <c r="D220" s="6"/>
      <c r="E220" s="6"/>
      <c r="F220" s="7"/>
      <c r="G220" s="6"/>
      <c r="H220" s="6"/>
      <c r="I220" s="8">
        <f t="shared" si="3"/>
        <v>12</v>
      </c>
      <c r="J220" s="8" t="str">
        <f>IF(C220="","",IFERROR(CHOOSE(MATCH(C220,{"AC","AL","AM","AP","BA","CE","DF","ES","GO","MA","MT","MS","MG","PA","PB","PR","PE","PI","RN","RS","RO","RR","SC","SP","SE","TO"},0),19,20,20,18,20.5,20,20,17,19,23,17,17,18,19,20,19.5,20.5,22.5,20,17,19.5,20,17,18,20,20),"?"))</f>
        <v/>
      </c>
      <c r="K220" s="5"/>
    </row>
    <row r="221" spans="1:11" x14ac:dyDescent="0.25">
      <c r="A221" s="9" t="s">
        <v>443</v>
      </c>
      <c r="B221" s="9" t="s">
        <v>444</v>
      </c>
      <c r="C221" s="6"/>
      <c r="D221" s="6"/>
      <c r="E221" s="6"/>
      <c r="F221" s="7"/>
      <c r="G221" s="6"/>
      <c r="H221" s="6"/>
      <c r="I221" s="8">
        <f t="shared" si="3"/>
        <v>12</v>
      </c>
      <c r="J221" s="8" t="str">
        <f>IF(C221="","",IFERROR(CHOOSE(MATCH(C221,{"AC","AL","AM","AP","BA","CE","DF","ES","GO","MA","MT","MS","MG","PA","PB","PR","PE","PI","RN","RS","RO","RR","SC","SP","SE","TO"},0),19,20,20,18,20.5,20,20,17,19,23,17,17,18,19,20,19.5,20.5,22.5,20,17,19.5,20,17,18,20,20),"?"))</f>
        <v/>
      </c>
      <c r="K221" s="9"/>
    </row>
    <row r="222" spans="1:11" x14ac:dyDescent="0.25">
      <c r="A222" s="5" t="s">
        <v>445</v>
      </c>
      <c r="B222" s="5" t="s">
        <v>446</v>
      </c>
      <c r="C222" s="6"/>
      <c r="D222" s="6"/>
      <c r="E222" s="6"/>
      <c r="F222" s="7"/>
      <c r="G222" s="6"/>
      <c r="H222" s="6"/>
      <c r="I222" s="8">
        <f t="shared" si="3"/>
        <v>12</v>
      </c>
      <c r="J222" s="8" t="str">
        <f>IF(C222="","",IFERROR(CHOOSE(MATCH(C222,{"AC","AL","AM","AP","BA","CE","DF","ES","GO","MA","MT","MS","MG","PA","PB","PR","PE","PI","RN","RS","RO","RR","SC","SP","SE","TO"},0),19,20,20,18,20.5,20,20,17,19,23,17,17,18,19,20,19.5,20.5,22.5,20,17,19.5,20,17,18,20,20),"?"))</f>
        <v/>
      </c>
      <c r="K222" s="5"/>
    </row>
    <row r="223" spans="1:11" x14ac:dyDescent="0.25">
      <c r="A223" s="9" t="s">
        <v>447</v>
      </c>
      <c r="B223" s="9" t="s">
        <v>448</v>
      </c>
      <c r="C223" s="6"/>
      <c r="D223" s="6"/>
      <c r="E223" s="6"/>
      <c r="F223" s="7"/>
      <c r="G223" s="6"/>
      <c r="H223" s="6"/>
      <c r="I223" s="8">
        <f t="shared" si="3"/>
        <v>12</v>
      </c>
      <c r="J223" s="8" t="str">
        <f>IF(C223="","",IFERROR(CHOOSE(MATCH(C223,{"AC","AL","AM","AP","BA","CE","DF","ES","GO","MA","MT","MS","MG","PA","PB","PR","PE","PI","RN","RS","RO","RR","SC","SP","SE","TO"},0),19,20,20,18,20.5,20,20,17,19,23,17,17,18,19,20,19.5,20.5,22.5,20,17,19.5,20,17,18,20,20),"?"))</f>
        <v/>
      </c>
      <c r="K223" s="9"/>
    </row>
    <row r="224" spans="1:11" x14ac:dyDescent="0.25">
      <c r="A224" s="5" t="s">
        <v>447</v>
      </c>
      <c r="B224" s="5" t="s">
        <v>449</v>
      </c>
      <c r="C224" s="6"/>
      <c r="D224" s="6"/>
      <c r="E224" s="6"/>
      <c r="F224" s="7"/>
      <c r="G224" s="6"/>
      <c r="H224" s="6"/>
      <c r="I224" s="8">
        <f t="shared" si="3"/>
        <v>12</v>
      </c>
      <c r="J224" s="8" t="str">
        <f>IF(C224="","",IFERROR(CHOOSE(MATCH(C224,{"AC","AL","AM","AP","BA","CE","DF","ES","GO","MA","MT","MS","MG","PA","PB","PR","PE","PI","RN","RS","RO","RR","SC","SP","SE","TO"},0),19,20,20,18,20.5,20,20,17,19,23,17,17,18,19,20,19.5,20.5,22.5,20,17,19.5,20,17,18,20,20),"?"))</f>
        <v/>
      </c>
      <c r="K224" s="5"/>
    </row>
    <row r="225" spans="1:11" x14ac:dyDescent="0.25">
      <c r="A225" s="9" t="s">
        <v>450</v>
      </c>
      <c r="B225" s="9" t="s">
        <v>451</v>
      </c>
      <c r="C225" s="6"/>
      <c r="D225" s="6"/>
      <c r="E225" s="6"/>
      <c r="F225" s="7"/>
      <c r="G225" s="6"/>
      <c r="H225" s="6"/>
      <c r="I225" s="8">
        <f t="shared" si="3"/>
        <v>12</v>
      </c>
      <c r="J225" s="8" t="str">
        <f>IF(C225="","",IFERROR(CHOOSE(MATCH(C225,{"AC","AL","AM","AP","BA","CE","DF","ES","GO","MA","MT","MS","MG","PA","PB","PR","PE","PI","RN","RS","RO","RR","SC","SP","SE","TO"},0),19,20,20,18,20.5,20,20,17,19,23,17,17,18,19,20,19.5,20.5,22.5,20,17,19.5,20,17,18,20,20),"?"))</f>
        <v/>
      </c>
      <c r="K225" s="9"/>
    </row>
    <row r="226" spans="1:11" x14ac:dyDescent="0.25">
      <c r="A226" s="5" t="s">
        <v>452</v>
      </c>
      <c r="B226" s="5" t="s">
        <v>453</v>
      </c>
      <c r="C226" s="6"/>
      <c r="D226" s="6"/>
      <c r="E226" s="6"/>
      <c r="F226" s="7"/>
      <c r="G226" s="6"/>
      <c r="H226" s="6"/>
      <c r="I226" s="8">
        <f t="shared" si="3"/>
        <v>12</v>
      </c>
      <c r="J226" s="8" t="str">
        <f>IF(C226="","",IFERROR(CHOOSE(MATCH(C226,{"AC","AL","AM","AP","BA","CE","DF","ES","GO","MA","MT","MS","MG","PA","PB","PR","PE","PI","RN","RS","RO","RR","SC","SP","SE","TO"},0),19,20,20,18,20.5,20,20,17,19,23,17,17,18,19,20,19.5,20.5,22.5,20,17,19.5,20,17,18,20,20),"?"))</f>
        <v/>
      </c>
      <c r="K226" s="5"/>
    </row>
    <row r="227" spans="1:11" x14ac:dyDescent="0.25">
      <c r="A227" s="9" t="s">
        <v>452</v>
      </c>
      <c r="B227" s="9" t="s">
        <v>454</v>
      </c>
      <c r="C227" s="6"/>
      <c r="D227" s="6"/>
      <c r="E227" s="6"/>
      <c r="F227" s="7"/>
      <c r="G227" s="6"/>
      <c r="H227" s="6"/>
      <c r="I227" s="8">
        <f t="shared" si="3"/>
        <v>12</v>
      </c>
      <c r="J227" s="8" t="str">
        <f>IF(C227="","",IFERROR(CHOOSE(MATCH(C227,{"AC","AL","AM","AP","BA","CE","DF","ES","GO","MA","MT","MS","MG","PA","PB","PR","PE","PI","RN","RS","RO","RR","SC","SP","SE","TO"},0),19,20,20,18,20.5,20,20,17,19,23,17,17,18,19,20,19.5,20.5,22.5,20,17,19.5,20,17,18,20,20),"?"))</f>
        <v/>
      </c>
      <c r="K227" s="9"/>
    </row>
    <row r="228" spans="1:11" x14ac:dyDescent="0.25">
      <c r="A228" s="5" t="s">
        <v>455</v>
      </c>
      <c r="B228" s="5" t="s">
        <v>456</v>
      </c>
      <c r="C228" s="6"/>
      <c r="D228" s="6"/>
      <c r="E228" s="6"/>
      <c r="F228" s="7"/>
      <c r="G228" s="6"/>
      <c r="H228" s="6"/>
      <c r="I228" s="8">
        <f t="shared" si="3"/>
        <v>12</v>
      </c>
      <c r="J228" s="8" t="str">
        <f>IF(C228="","",IFERROR(CHOOSE(MATCH(C228,{"AC","AL","AM","AP","BA","CE","DF","ES","GO","MA","MT","MS","MG","PA","PB","PR","PE","PI","RN","RS","RO","RR","SC","SP","SE","TO"},0),19,20,20,18,20.5,20,20,17,19,23,17,17,18,19,20,19.5,20.5,22.5,20,17,19.5,20,17,18,20,20),"?"))</f>
        <v/>
      </c>
      <c r="K228" s="5"/>
    </row>
    <row r="229" spans="1:11" x14ac:dyDescent="0.25">
      <c r="A229" s="9" t="s">
        <v>457</v>
      </c>
      <c r="B229" s="9" t="s">
        <v>458</v>
      </c>
      <c r="C229" s="6"/>
      <c r="D229" s="6"/>
      <c r="E229" s="6"/>
      <c r="F229" s="7"/>
      <c r="G229" s="6"/>
      <c r="H229" s="6"/>
      <c r="I229" s="8">
        <f t="shared" si="3"/>
        <v>12</v>
      </c>
      <c r="J229" s="8" t="str">
        <f>IF(C229="","",IFERROR(CHOOSE(MATCH(C229,{"AC","AL","AM","AP","BA","CE","DF","ES","GO","MA","MT","MS","MG","PA","PB","PR","PE","PI","RN","RS","RO","RR","SC","SP","SE","TO"},0),19,20,20,18,20.5,20,20,17,19,23,17,17,18,19,20,19.5,20.5,22.5,20,17,19.5,20,17,18,20,20),"?"))</f>
        <v/>
      </c>
      <c r="K229" s="9"/>
    </row>
    <row r="230" spans="1:11" x14ac:dyDescent="0.25">
      <c r="A230" s="5" t="s">
        <v>459</v>
      </c>
      <c r="B230" s="5" t="s">
        <v>460</v>
      </c>
      <c r="C230" s="6"/>
      <c r="D230" s="6"/>
      <c r="E230" s="6"/>
      <c r="F230" s="7"/>
      <c r="G230" s="6"/>
      <c r="H230" s="6"/>
      <c r="I230" s="8">
        <f t="shared" si="3"/>
        <v>12</v>
      </c>
      <c r="J230" s="8" t="str">
        <f>IF(C230="","",IFERROR(CHOOSE(MATCH(C230,{"AC","AL","AM","AP","BA","CE","DF","ES","GO","MA","MT","MS","MG","PA","PB","PR","PE","PI","RN","RS","RO","RR","SC","SP","SE","TO"},0),19,20,20,18,20.5,20,20,17,19,23,17,17,18,19,20,19.5,20.5,22.5,20,17,19.5,20,17,18,20,20),"?"))</f>
        <v/>
      </c>
      <c r="K230" s="5"/>
    </row>
    <row r="231" spans="1:11" x14ac:dyDescent="0.25">
      <c r="A231" s="9" t="s">
        <v>461</v>
      </c>
      <c r="B231" s="9" t="s">
        <v>462</v>
      </c>
      <c r="C231" s="6"/>
      <c r="D231" s="6"/>
      <c r="E231" s="6"/>
      <c r="F231" s="7"/>
      <c r="G231" s="6"/>
      <c r="H231" s="6"/>
      <c r="I231" s="8">
        <f t="shared" si="3"/>
        <v>12</v>
      </c>
      <c r="J231" s="8" t="str">
        <f>IF(C231="","",IFERROR(CHOOSE(MATCH(C231,{"AC","AL","AM","AP","BA","CE","DF","ES","GO","MA","MT","MS","MG","PA","PB","PR","PE","PI","RN","RS","RO","RR","SC","SP","SE","TO"},0),19,20,20,18,20.5,20,20,17,19,23,17,17,18,19,20,19.5,20.5,22.5,20,17,19.5,20,17,18,20,20),"?"))</f>
        <v/>
      </c>
      <c r="K231" s="9"/>
    </row>
    <row r="232" spans="1:11" x14ac:dyDescent="0.25">
      <c r="A232" s="5" t="s">
        <v>463</v>
      </c>
      <c r="B232" s="5" t="s">
        <v>464</v>
      </c>
      <c r="C232" s="6"/>
      <c r="D232" s="6"/>
      <c r="E232" s="6"/>
      <c r="F232" s="7"/>
      <c r="G232" s="6"/>
      <c r="H232" s="6"/>
      <c r="I232" s="8">
        <f t="shared" si="3"/>
        <v>12</v>
      </c>
      <c r="J232" s="8" t="str">
        <f>IF(C232="","",IFERROR(CHOOSE(MATCH(C232,{"AC","AL","AM","AP","BA","CE","DF","ES","GO","MA","MT","MS","MG","PA","PB","PR","PE","PI","RN","RS","RO","RR","SC","SP","SE","TO"},0),19,20,20,18,20.5,20,20,17,19,23,17,17,18,19,20,19.5,20.5,22.5,20,17,19.5,20,17,18,20,20),"?"))</f>
        <v/>
      </c>
      <c r="K232" s="5"/>
    </row>
    <row r="233" spans="1:11" x14ac:dyDescent="0.25">
      <c r="A233" s="9" t="s">
        <v>465</v>
      </c>
      <c r="B233" s="9" t="s">
        <v>466</v>
      </c>
      <c r="C233" s="6"/>
      <c r="D233" s="6"/>
      <c r="E233" s="6"/>
      <c r="F233" s="7"/>
      <c r="G233" s="6"/>
      <c r="H233" s="6"/>
      <c r="I233" s="8">
        <f t="shared" si="3"/>
        <v>12</v>
      </c>
      <c r="J233" s="8" t="str">
        <f>IF(C233="","",IFERROR(CHOOSE(MATCH(C233,{"AC","AL","AM","AP","BA","CE","DF","ES","GO","MA","MT","MS","MG","PA","PB","PR","PE","PI","RN","RS","RO","RR","SC","SP","SE","TO"},0),19,20,20,18,20.5,20,20,17,19,23,17,17,18,19,20,19.5,20.5,22.5,20,17,19.5,20,17,18,20,20),"?"))</f>
        <v/>
      </c>
      <c r="K233" s="9"/>
    </row>
    <row r="234" spans="1:11" x14ac:dyDescent="0.25">
      <c r="A234" s="5" t="s">
        <v>467</v>
      </c>
      <c r="B234" s="5" t="s">
        <v>468</v>
      </c>
      <c r="C234" s="6"/>
      <c r="D234" s="6"/>
      <c r="E234" s="6"/>
      <c r="F234" s="7"/>
      <c r="G234" s="6"/>
      <c r="H234" s="6"/>
      <c r="I234" s="8">
        <f t="shared" si="3"/>
        <v>12</v>
      </c>
      <c r="J234" s="8" t="str">
        <f>IF(C234="","",IFERROR(CHOOSE(MATCH(C234,{"AC","AL","AM","AP","BA","CE","DF","ES","GO","MA","MT","MS","MG","PA","PB","PR","PE","PI","RN","RS","RO","RR","SC","SP","SE","TO"},0),19,20,20,18,20.5,20,20,17,19,23,17,17,18,19,20,19.5,20.5,22.5,20,17,19.5,20,17,18,20,20),"?"))</f>
        <v/>
      </c>
      <c r="K234" s="5"/>
    </row>
    <row r="235" spans="1:11" x14ac:dyDescent="0.25">
      <c r="A235" s="9" t="s">
        <v>469</v>
      </c>
      <c r="B235" s="9" t="s">
        <v>470</v>
      </c>
      <c r="C235" s="6"/>
      <c r="D235" s="6"/>
      <c r="E235" s="6"/>
      <c r="F235" s="7"/>
      <c r="G235" s="6"/>
      <c r="H235" s="6"/>
      <c r="I235" s="8">
        <f t="shared" si="3"/>
        <v>12</v>
      </c>
      <c r="J235" s="8" t="str">
        <f>IF(C235="","",IFERROR(CHOOSE(MATCH(C235,{"AC","AL","AM","AP","BA","CE","DF","ES","GO","MA","MT","MS","MG","PA","PB","PR","PE","PI","RN","RS","RO","RR","SC","SP","SE","TO"},0),19,20,20,18,20.5,20,20,17,19,23,17,17,18,19,20,19.5,20.5,22.5,20,17,19.5,20,17,18,20,20),"?"))</f>
        <v/>
      </c>
      <c r="K235" s="9"/>
    </row>
    <row r="236" spans="1:11" x14ac:dyDescent="0.25">
      <c r="A236" s="5" t="s">
        <v>471</v>
      </c>
      <c r="B236" s="5" t="s">
        <v>472</v>
      </c>
      <c r="C236" s="6"/>
      <c r="D236" s="6"/>
      <c r="E236" s="6"/>
      <c r="F236" s="7"/>
      <c r="G236" s="6"/>
      <c r="H236" s="6"/>
      <c r="I236" s="8">
        <f t="shared" si="3"/>
        <v>12</v>
      </c>
      <c r="J236" s="8" t="str">
        <f>IF(C236="","",IFERROR(CHOOSE(MATCH(C236,{"AC","AL","AM","AP","BA","CE","DF","ES","GO","MA","MT","MS","MG","PA","PB","PR","PE","PI","RN","RS","RO","RR","SC","SP","SE","TO"},0),19,20,20,18,20.5,20,20,17,19,23,17,17,18,19,20,19.5,20.5,22.5,20,17,19.5,20,17,18,20,20),"?"))</f>
        <v/>
      </c>
      <c r="K236" s="5"/>
    </row>
    <row r="237" spans="1:11" x14ac:dyDescent="0.25">
      <c r="A237" s="9" t="s">
        <v>473</v>
      </c>
      <c r="B237" s="9" t="s">
        <v>474</v>
      </c>
      <c r="C237" s="6"/>
      <c r="D237" s="6"/>
      <c r="E237" s="6"/>
      <c r="F237" s="7"/>
      <c r="G237" s="6"/>
      <c r="H237" s="6"/>
      <c r="I237" s="8">
        <f t="shared" si="3"/>
        <v>12</v>
      </c>
      <c r="J237" s="8" t="str">
        <f>IF(C237="","",IFERROR(CHOOSE(MATCH(C237,{"AC","AL","AM","AP","BA","CE","DF","ES","GO","MA","MT","MS","MG","PA","PB","PR","PE","PI","RN","RS","RO","RR","SC","SP","SE","TO"},0),19,20,20,18,20.5,20,20,17,19,23,17,17,18,19,20,19.5,20.5,22.5,20,17,19.5,20,17,18,20,20),"?"))</f>
        <v/>
      </c>
      <c r="K237" s="9"/>
    </row>
    <row r="238" spans="1:11" x14ac:dyDescent="0.25">
      <c r="A238" s="5" t="s">
        <v>475</v>
      </c>
      <c r="B238" s="5" t="s">
        <v>476</v>
      </c>
      <c r="C238" s="6"/>
      <c r="D238" s="6"/>
      <c r="E238" s="6"/>
      <c r="F238" s="7"/>
      <c r="G238" s="6"/>
      <c r="H238" s="6"/>
      <c r="I238" s="8">
        <f t="shared" si="3"/>
        <v>12</v>
      </c>
      <c r="J238" s="8" t="str">
        <f>IF(C238="","",IFERROR(CHOOSE(MATCH(C238,{"AC","AL","AM","AP","BA","CE","DF","ES","GO","MA","MT","MS","MG","PA","PB","PR","PE","PI","RN","RS","RO","RR","SC","SP","SE","TO"},0),19,20,20,18,20.5,20,20,17,19,23,17,17,18,19,20,19.5,20.5,22.5,20,17,19.5,20,17,18,20,20),"?"))</f>
        <v/>
      </c>
      <c r="K238" s="5"/>
    </row>
    <row r="239" spans="1:11" x14ac:dyDescent="0.25">
      <c r="A239" s="9" t="s">
        <v>477</v>
      </c>
      <c r="B239" s="9" t="s">
        <v>478</v>
      </c>
      <c r="C239" s="6"/>
      <c r="D239" s="6"/>
      <c r="E239" s="6"/>
      <c r="F239" s="7"/>
      <c r="G239" s="6"/>
      <c r="H239" s="6"/>
      <c r="I239" s="8">
        <f t="shared" si="3"/>
        <v>12</v>
      </c>
      <c r="J239" s="8" t="str">
        <f>IF(C239="","",IFERROR(CHOOSE(MATCH(C239,{"AC","AL","AM","AP","BA","CE","DF","ES","GO","MA","MT","MS","MG","PA","PB","PR","PE","PI","RN","RS","RO","RR","SC","SP","SE","TO"},0),19,20,20,18,20.5,20,20,17,19,23,17,17,18,19,20,19.5,20.5,22.5,20,17,19.5,20,17,18,20,20),"?"))</f>
        <v/>
      </c>
      <c r="K239" s="9"/>
    </row>
    <row r="240" spans="1:11" x14ac:dyDescent="0.25">
      <c r="A240" s="5" t="s">
        <v>479</v>
      </c>
      <c r="B240" s="5" t="s">
        <v>480</v>
      </c>
      <c r="C240" s="6"/>
      <c r="D240" s="6"/>
      <c r="E240" s="6"/>
      <c r="F240" s="7"/>
      <c r="G240" s="6"/>
      <c r="H240" s="6"/>
      <c r="I240" s="8">
        <f t="shared" si="3"/>
        <v>12</v>
      </c>
      <c r="J240" s="8" t="str">
        <f>IF(C240="","",IFERROR(CHOOSE(MATCH(C240,{"AC","AL","AM","AP","BA","CE","DF","ES","GO","MA","MT","MS","MG","PA","PB","PR","PE","PI","RN","RS","RO","RR","SC","SP","SE","TO"},0),19,20,20,18,20.5,20,20,17,19,23,17,17,18,19,20,19.5,20.5,22.5,20,17,19.5,20,17,18,20,20),"?"))</f>
        <v/>
      </c>
      <c r="K240" s="5"/>
    </row>
    <row r="241" spans="1:11" x14ac:dyDescent="0.25">
      <c r="A241" s="9" t="s">
        <v>481</v>
      </c>
      <c r="B241" s="9" t="s">
        <v>482</v>
      </c>
      <c r="C241" s="6"/>
      <c r="D241" s="6"/>
      <c r="E241" s="6"/>
      <c r="F241" s="7"/>
      <c r="G241" s="6"/>
      <c r="H241" s="6"/>
      <c r="I241" s="8">
        <f t="shared" si="3"/>
        <v>12</v>
      </c>
      <c r="J241" s="8" t="str">
        <f>IF(C241="","",IFERROR(CHOOSE(MATCH(C241,{"AC","AL","AM","AP","BA","CE","DF","ES","GO","MA","MT","MS","MG","PA","PB","PR","PE","PI","RN","RS","RO","RR","SC","SP","SE","TO"},0),19,20,20,18,20.5,20,20,17,19,23,17,17,18,19,20,19.5,20.5,22.5,20,17,19.5,20,17,18,20,20),"?"))</f>
        <v/>
      </c>
      <c r="K241" s="9"/>
    </row>
    <row r="242" spans="1:11" x14ac:dyDescent="0.25">
      <c r="A242" s="5" t="s">
        <v>483</v>
      </c>
      <c r="B242" s="5" t="s">
        <v>484</v>
      </c>
      <c r="C242" s="6"/>
      <c r="D242" s="6"/>
      <c r="E242" s="6"/>
      <c r="F242" s="7"/>
      <c r="G242" s="6"/>
      <c r="H242" s="6"/>
      <c r="I242" s="8">
        <f t="shared" si="3"/>
        <v>12</v>
      </c>
      <c r="J242" s="8" t="str">
        <f>IF(C242="","",IFERROR(CHOOSE(MATCH(C242,{"AC","AL","AM","AP","BA","CE","DF","ES","GO","MA","MT","MS","MG","PA","PB","PR","PE","PI","RN","RS","RO","RR","SC","SP","SE","TO"},0),19,20,20,18,20.5,20,20,17,19,23,17,17,18,19,20,19.5,20.5,22.5,20,17,19.5,20,17,18,20,20),"?"))</f>
        <v/>
      </c>
      <c r="K242" s="5"/>
    </row>
    <row r="243" spans="1:11" x14ac:dyDescent="0.25">
      <c r="A243" s="9" t="s">
        <v>485</v>
      </c>
      <c r="B243" s="9" t="s">
        <v>486</v>
      </c>
      <c r="C243" s="6"/>
      <c r="D243" s="6"/>
      <c r="E243" s="6"/>
      <c r="F243" s="7"/>
      <c r="G243" s="6"/>
      <c r="H243" s="6"/>
      <c r="I243" s="8">
        <f t="shared" si="3"/>
        <v>12</v>
      </c>
      <c r="J243" s="8" t="str">
        <f>IF(C243="","",IFERROR(CHOOSE(MATCH(C243,{"AC","AL","AM","AP","BA","CE","DF","ES","GO","MA","MT","MS","MG","PA","PB","PR","PE","PI","RN","RS","RO","RR","SC","SP","SE","TO"},0),19,20,20,18,20.5,20,20,17,19,23,17,17,18,19,20,19.5,20.5,22.5,20,17,19.5,20,17,18,20,20),"?"))</f>
        <v/>
      </c>
      <c r="K243" s="9"/>
    </row>
    <row r="244" spans="1:11" x14ac:dyDescent="0.25">
      <c r="A244" s="5" t="s">
        <v>487</v>
      </c>
      <c r="B244" s="5" t="s">
        <v>488</v>
      </c>
      <c r="C244" s="6"/>
      <c r="D244" s="6"/>
      <c r="E244" s="6"/>
      <c r="F244" s="7"/>
      <c r="G244" s="6"/>
      <c r="H244" s="6"/>
      <c r="I244" s="8">
        <f t="shared" si="3"/>
        <v>12</v>
      </c>
      <c r="J244" s="8" t="str">
        <f>IF(C244="","",IFERROR(CHOOSE(MATCH(C244,{"AC","AL","AM","AP","BA","CE","DF","ES","GO","MA","MT","MS","MG","PA","PB","PR","PE","PI","RN","RS","RO","RR","SC","SP","SE","TO"},0),19,20,20,18,20.5,20,20,17,19,23,17,17,18,19,20,19.5,20.5,22.5,20,17,19.5,20,17,18,20,20),"?"))</f>
        <v/>
      </c>
      <c r="K244" s="5"/>
    </row>
    <row r="245" spans="1:11" x14ac:dyDescent="0.25">
      <c r="A245" s="9" t="s">
        <v>489</v>
      </c>
      <c r="B245" s="9" t="s">
        <v>490</v>
      </c>
      <c r="C245" s="6"/>
      <c r="D245" s="6"/>
      <c r="E245" s="6"/>
      <c r="F245" s="7"/>
      <c r="G245" s="6"/>
      <c r="H245" s="6"/>
      <c r="I245" s="8">
        <f t="shared" si="3"/>
        <v>12</v>
      </c>
      <c r="J245" s="8" t="str">
        <f>IF(C245="","",IFERROR(CHOOSE(MATCH(C245,{"AC","AL","AM","AP","BA","CE","DF","ES","GO","MA","MT","MS","MG","PA","PB","PR","PE","PI","RN","RS","RO","RR","SC","SP","SE","TO"},0),19,20,20,18,20.5,20,20,17,19,23,17,17,18,19,20,19.5,20.5,22.5,20,17,19.5,20,17,18,20,20),"?"))</f>
        <v/>
      </c>
      <c r="K245" s="9"/>
    </row>
    <row r="246" spans="1:11" x14ac:dyDescent="0.25">
      <c r="A246" s="5" t="s">
        <v>491</v>
      </c>
      <c r="B246" s="5" t="s">
        <v>492</v>
      </c>
      <c r="C246" s="6"/>
      <c r="D246" s="6"/>
      <c r="E246" s="6"/>
      <c r="F246" s="7"/>
      <c r="G246" s="6"/>
      <c r="H246" s="6"/>
      <c r="I246" s="8">
        <f t="shared" si="3"/>
        <v>12</v>
      </c>
      <c r="J246" s="8" t="str">
        <f>IF(C246="","",IFERROR(CHOOSE(MATCH(C246,{"AC","AL","AM","AP","BA","CE","DF","ES","GO","MA","MT","MS","MG","PA","PB","PR","PE","PI","RN","RS","RO","RR","SC","SP","SE","TO"},0),19,20,20,18,20.5,20,20,17,19,23,17,17,18,19,20,19.5,20.5,22.5,20,17,19.5,20,17,18,20,20),"?"))</f>
        <v/>
      </c>
      <c r="K246" s="5"/>
    </row>
    <row r="247" spans="1:11" x14ac:dyDescent="0.25">
      <c r="A247" s="9" t="s">
        <v>493</v>
      </c>
      <c r="B247" s="9" t="s">
        <v>494</v>
      </c>
      <c r="C247" s="6"/>
      <c r="D247" s="6"/>
      <c r="E247" s="6"/>
      <c r="F247" s="7"/>
      <c r="G247" s="6"/>
      <c r="H247" s="6"/>
      <c r="I247" s="8">
        <f t="shared" si="3"/>
        <v>12</v>
      </c>
      <c r="J247" s="8" t="str">
        <f>IF(C247="","",IFERROR(CHOOSE(MATCH(C247,{"AC","AL","AM","AP","BA","CE","DF","ES","GO","MA","MT","MS","MG","PA","PB","PR","PE","PI","RN","RS","RO","RR","SC","SP","SE","TO"},0),19,20,20,18,20.5,20,20,17,19,23,17,17,18,19,20,19.5,20.5,22.5,20,17,19.5,20,17,18,20,20),"?"))</f>
        <v/>
      </c>
      <c r="K247" s="9"/>
    </row>
    <row r="248" spans="1:11" x14ac:dyDescent="0.25">
      <c r="A248" s="5" t="s">
        <v>495</v>
      </c>
      <c r="B248" s="5" t="s">
        <v>496</v>
      </c>
      <c r="C248" s="6"/>
      <c r="D248" s="6"/>
      <c r="E248" s="6"/>
      <c r="F248" s="7"/>
      <c r="G248" s="6"/>
      <c r="H248" s="6"/>
      <c r="I248" s="8">
        <f t="shared" si="3"/>
        <v>12</v>
      </c>
      <c r="J248" s="8" t="str">
        <f>IF(C248="","",IFERROR(CHOOSE(MATCH(C248,{"AC","AL","AM","AP","BA","CE","DF","ES","GO","MA","MT","MS","MG","PA","PB","PR","PE","PI","RN","RS","RO","RR","SC","SP","SE","TO"},0),19,20,20,18,20.5,20,20,17,19,23,17,17,18,19,20,19.5,20.5,22.5,20,17,19.5,20,17,18,20,20),"?"))</f>
        <v/>
      </c>
      <c r="K248" s="5"/>
    </row>
    <row r="249" spans="1:11" x14ac:dyDescent="0.25">
      <c r="A249" s="9" t="s">
        <v>497</v>
      </c>
      <c r="B249" s="9" t="s">
        <v>498</v>
      </c>
      <c r="C249" s="6"/>
      <c r="D249" s="6"/>
      <c r="E249" s="6"/>
      <c r="F249" s="7"/>
      <c r="G249" s="6"/>
      <c r="H249" s="6"/>
      <c r="I249" s="8">
        <f t="shared" si="3"/>
        <v>12</v>
      </c>
      <c r="J249" s="8" t="str">
        <f>IF(C249="","",IFERROR(CHOOSE(MATCH(C249,{"AC","AL","AM","AP","BA","CE","DF","ES","GO","MA","MT","MS","MG","PA","PB","PR","PE","PI","RN","RS","RO","RR","SC","SP","SE","TO"},0),19,20,20,18,20.5,20,20,17,19,23,17,17,18,19,20,19.5,20.5,22.5,20,17,19.5,20,17,18,20,20),"?"))</f>
        <v/>
      </c>
      <c r="K249" s="9"/>
    </row>
    <row r="250" spans="1:11" x14ac:dyDescent="0.25">
      <c r="A250" s="5" t="s">
        <v>499</v>
      </c>
      <c r="B250" s="5" t="s">
        <v>500</v>
      </c>
      <c r="C250" s="6"/>
      <c r="D250" s="6"/>
      <c r="E250" s="6"/>
      <c r="F250" s="7"/>
      <c r="G250" s="6"/>
      <c r="H250" s="6"/>
      <c r="I250" s="8">
        <f t="shared" si="3"/>
        <v>12</v>
      </c>
      <c r="J250" s="8" t="str">
        <f>IF(C250="","",IFERROR(CHOOSE(MATCH(C250,{"AC","AL","AM","AP","BA","CE","DF","ES","GO","MA","MT","MS","MG","PA","PB","PR","PE","PI","RN","RS","RO","RR","SC","SP","SE","TO"},0),19,20,20,18,20.5,20,20,17,19,23,17,17,18,19,20,19.5,20.5,22.5,20,17,19.5,20,17,18,20,20),"?"))</f>
        <v/>
      </c>
      <c r="K250" s="5"/>
    </row>
    <row r="251" spans="1:11" x14ac:dyDescent="0.25">
      <c r="A251" s="9" t="s">
        <v>501</v>
      </c>
      <c r="B251" s="9" t="s">
        <v>502</v>
      </c>
      <c r="C251" s="6"/>
      <c r="D251" s="6"/>
      <c r="E251" s="6"/>
      <c r="F251" s="7"/>
      <c r="G251" s="6"/>
      <c r="H251" s="6"/>
      <c r="I251" s="8">
        <f t="shared" si="3"/>
        <v>12</v>
      </c>
      <c r="J251" s="8" t="str">
        <f>IF(C251="","",IFERROR(CHOOSE(MATCH(C251,{"AC","AL","AM","AP","BA","CE","DF","ES","GO","MA","MT","MS","MG","PA","PB","PR","PE","PI","RN","RS","RO","RR","SC","SP","SE","TO"},0),19,20,20,18,20.5,20,20,17,19,23,17,17,18,19,20,19.5,20.5,22.5,20,17,19.5,20,17,18,20,20),"?"))</f>
        <v/>
      </c>
      <c r="K251" s="9"/>
    </row>
    <row r="252" spans="1:11" x14ac:dyDescent="0.25">
      <c r="A252" s="5" t="s">
        <v>503</v>
      </c>
      <c r="B252" s="5" t="s">
        <v>504</v>
      </c>
      <c r="C252" s="6"/>
      <c r="D252" s="6"/>
      <c r="E252" s="6"/>
      <c r="F252" s="7"/>
      <c r="G252" s="6"/>
      <c r="H252" s="6"/>
      <c r="I252" s="8">
        <f t="shared" si="3"/>
        <v>12</v>
      </c>
      <c r="J252" s="8" t="str">
        <f>IF(C252="","",IFERROR(CHOOSE(MATCH(C252,{"AC","AL","AM","AP","BA","CE","DF","ES","GO","MA","MT","MS","MG","PA","PB","PR","PE","PI","RN","RS","RO","RR","SC","SP","SE","TO"},0),19,20,20,18,20.5,20,20,17,19,23,17,17,18,19,20,19.5,20.5,22.5,20,17,19.5,20,17,18,20,20),"?"))</f>
        <v/>
      </c>
      <c r="K252" s="5"/>
    </row>
    <row r="253" spans="1:11" x14ac:dyDescent="0.25">
      <c r="A253" s="9" t="s">
        <v>505</v>
      </c>
      <c r="B253" s="9" t="s">
        <v>500</v>
      </c>
      <c r="C253" s="6"/>
      <c r="D253" s="6"/>
      <c r="E253" s="6"/>
      <c r="F253" s="7"/>
      <c r="G253" s="6"/>
      <c r="H253" s="6"/>
      <c r="I253" s="8">
        <f t="shared" si="3"/>
        <v>12</v>
      </c>
      <c r="J253" s="8" t="str">
        <f>IF(C253="","",IFERROR(CHOOSE(MATCH(C253,{"AC","AL","AM","AP","BA","CE","DF","ES","GO","MA","MT","MS","MG","PA","PB","PR","PE","PI","RN","RS","RO","RR","SC","SP","SE","TO"},0),19,20,20,18,20.5,20,20,17,19,23,17,17,18,19,20,19.5,20.5,22.5,20,17,19.5,20,17,18,20,20),"?"))</f>
        <v/>
      </c>
      <c r="K253" s="9"/>
    </row>
    <row r="254" spans="1:11" x14ac:dyDescent="0.25">
      <c r="A254" s="5" t="s">
        <v>506</v>
      </c>
      <c r="B254" s="5" t="s">
        <v>500</v>
      </c>
      <c r="C254" s="6"/>
      <c r="D254" s="6"/>
      <c r="E254" s="6"/>
      <c r="F254" s="7"/>
      <c r="G254" s="6"/>
      <c r="H254" s="6"/>
      <c r="I254" s="8">
        <f t="shared" si="3"/>
        <v>12</v>
      </c>
      <c r="J254" s="8" t="str">
        <f>IF(C254="","",IFERROR(CHOOSE(MATCH(C254,{"AC","AL","AM","AP","BA","CE","DF","ES","GO","MA","MT","MS","MG","PA","PB","PR","PE","PI","RN","RS","RO","RR","SC","SP","SE","TO"},0),19,20,20,18,20.5,20,20,17,19,23,17,17,18,19,20,19.5,20.5,22.5,20,17,19.5,20,17,18,20,20),"?"))</f>
        <v/>
      </c>
      <c r="K254" s="5"/>
    </row>
    <row r="255" spans="1:11" x14ac:dyDescent="0.25">
      <c r="A255" s="9" t="s">
        <v>507</v>
      </c>
      <c r="B255" s="9" t="s">
        <v>508</v>
      </c>
      <c r="C255" s="6"/>
      <c r="D255" s="6"/>
      <c r="E255" s="6"/>
      <c r="F255" s="7"/>
      <c r="G255" s="6"/>
      <c r="H255" s="6"/>
      <c r="I255" s="8">
        <f t="shared" si="3"/>
        <v>12</v>
      </c>
      <c r="J255" s="8" t="str">
        <f>IF(C255="","",IFERROR(CHOOSE(MATCH(C255,{"AC","AL","AM","AP","BA","CE","DF","ES","GO","MA","MT","MS","MG","PA","PB","PR","PE","PI","RN","RS","RO","RR","SC","SP","SE","TO"},0),19,20,20,18,20.5,20,20,17,19,23,17,17,18,19,20,19.5,20.5,22.5,20,17,19.5,20,17,18,20,20),"?"))</f>
        <v/>
      </c>
      <c r="K255" s="9"/>
    </row>
    <row r="256" spans="1:11" x14ac:dyDescent="0.25">
      <c r="A256" s="5" t="s">
        <v>509</v>
      </c>
      <c r="B256" s="5" t="s">
        <v>510</v>
      </c>
      <c r="C256" s="6"/>
      <c r="D256" s="6"/>
      <c r="E256" s="6"/>
      <c r="F256" s="7"/>
      <c r="G256" s="6"/>
      <c r="H256" s="6"/>
      <c r="I256" s="8">
        <f t="shared" si="3"/>
        <v>12</v>
      </c>
      <c r="J256" s="8" t="str">
        <f>IF(C256="","",IFERROR(CHOOSE(MATCH(C256,{"AC","AL","AM","AP","BA","CE","DF","ES","GO","MA","MT","MS","MG","PA","PB","PR","PE","PI","RN","RS","RO","RR","SC","SP","SE","TO"},0),19,20,20,18,20.5,20,20,17,19,23,17,17,18,19,20,19.5,20.5,22.5,20,17,19.5,20,17,18,20,20),"?"))</f>
        <v/>
      </c>
      <c r="K256" s="5"/>
    </row>
    <row r="257" spans="1:11" x14ac:dyDescent="0.25">
      <c r="A257" s="9" t="s">
        <v>511</v>
      </c>
      <c r="B257" s="9" t="s">
        <v>512</v>
      </c>
      <c r="C257" s="6"/>
      <c r="D257" s="6"/>
      <c r="E257" s="6"/>
      <c r="F257" s="7"/>
      <c r="G257" s="6"/>
      <c r="H257" s="6"/>
      <c r="I257" s="8">
        <f t="shared" si="3"/>
        <v>12</v>
      </c>
      <c r="J257" s="8" t="str">
        <f>IF(C257="","",IFERROR(CHOOSE(MATCH(C257,{"AC","AL","AM","AP","BA","CE","DF","ES","GO","MA","MT","MS","MG","PA","PB","PR","PE","PI","RN","RS","RO","RR","SC","SP","SE","TO"},0),19,20,20,18,20.5,20,20,17,19,23,17,17,18,19,20,19.5,20.5,22.5,20,17,19.5,20,17,18,20,20),"?"))</f>
        <v/>
      </c>
      <c r="K257" s="9"/>
    </row>
    <row r="258" spans="1:11" x14ac:dyDescent="0.25">
      <c r="A258" s="5" t="s">
        <v>513</v>
      </c>
      <c r="B258" s="5" t="s">
        <v>514</v>
      </c>
      <c r="C258" s="6"/>
      <c r="D258" s="6"/>
      <c r="E258" s="6"/>
      <c r="F258" s="7"/>
      <c r="G258" s="6"/>
      <c r="H258" s="6"/>
      <c r="I258" s="8">
        <f t="shared" si="3"/>
        <v>12</v>
      </c>
      <c r="J258" s="8" t="str">
        <f>IF(C258="","",IFERROR(CHOOSE(MATCH(C258,{"AC","AL","AM","AP","BA","CE","DF","ES","GO","MA","MT","MS","MG","PA","PB","PR","PE","PI","RN","RS","RO","RR","SC","SP","SE","TO"},0),19,20,20,18,20.5,20,20,17,19,23,17,17,18,19,20,19.5,20.5,22.5,20,17,19.5,20,17,18,20,20),"?"))</f>
        <v/>
      </c>
      <c r="K258" s="5"/>
    </row>
    <row r="259" spans="1:11" x14ac:dyDescent="0.25">
      <c r="A259" s="9" t="s">
        <v>515</v>
      </c>
      <c r="B259" s="9" t="s">
        <v>516</v>
      </c>
      <c r="C259" s="6"/>
      <c r="D259" s="6"/>
      <c r="E259" s="6"/>
      <c r="F259" s="7"/>
      <c r="G259" s="6"/>
      <c r="H259" s="6"/>
      <c r="I259" s="8">
        <f t="shared" si="3"/>
        <v>12</v>
      </c>
      <c r="J259" s="8" t="str">
        <f>IF(C259="","",IFERROR(CHOOSE(MATCH(C259,{"AC","AL","AM","AP","BA","CE","DF","ES","GO","MA","MT","MS","MG","PA","PB","PR","PE","PI","RN","RS","RO","RR","SC","SP","SE","TO"},0),19,20,20,18,20.5,20,20,17,19,23,17,17,18,19,20,19.5,20.5,22.5,20,17,19.5,20,17,18,20,20),"?"))</f>
        <v/>
      </c>
      <c r="K259" s="9"/>
    </row>
    <row r="260" spans="1:11" x14ac:dyDescent="0.25">
      <c r="A260" s="5" t="s">
        <v>517</v>
      </c>
      <c r="B260" s="5" t="s">
        <v>518</v>
      </c>
      <c r="C260" s="6"/>
      <c r="D260" s="6"/>
      <c r="E260" s="6"/>
      <c r="F260" s="7"/>
      <c r="G260" s="6"/>
      <c r="H260" s="6"/>
      <c r="I260" s="8">
        <f t="shared" ref="I260:I323" si="4">IF(G260="SIM",4,IF(OR(C260="MG",C260="SP",C260="PR",C260="RS",C260="SC",C260="ES"),7,12))</f>
        <v>12</v>
      </c>
      <c r="J260" s="8" t="str">
        <f>IF(C260="","",IFERROR(CHOOSE(MATCH(C260,{"AC","AL","AM","AP","BA","CE","DF","ES","GO","MA","MT","MS","MG","PA","PB","PR","PE","PI","RN","RS","RO","RR","SC","SP","SE","TO"},0),19,20,20,18,20.5,20,20,17,19,23,17,17,18,19,20,19.5,20.5,22.5,20,17,19.5,20,17,18,20,20),"?"))</f>
        <v/>
      </c>
      <c r="K260" s="5"/>
    </row>
    <row r="261" spans="1:11" x14ac:dyDescent="0.25">
      <c r="A261" s="9" t="s">
        <v>519</v>
      </c>
      <c r="B261" s="9" t="s">
        <v>520</v>
      </c>
      <c r="C261" s="6"/>
      <c r="D261" s="6"/>
      <c r="E261" s="6"/>
      <c r="F261" s="7"/>
      <c r="G261" s="6"/>
      <c r="H261" s="6"/>
      <c r="I261" s="8">
        <f t="shared" si="4"/>
        <v>12</v>
      </c>
      <c r="J261" s="8" t="str">
        <f>IF(C261="","",IFERROR(CHOOSE(MATCH(C261,{"AC","AL","AM","AP","BA","CE","DF","ES","GO","MA","MT","MS","MG","PA","PB","PR","PE","PI","RN","RS","RO","RR","SC","SP","SE","TO"},0),19,20,20,18,20.5,20,20,17,19,23,17,17,18,19,20,19.5,20.5,22.5,20,17,19.5,20,17,18,20,20),"?"))</f>
        <v/>
      </c>
      <c r="K261" s="9"/>
    </row>
    <row r="262" spans="1:11" x14ac:dyDescent="0.25">
      <c r="A262" s="5" t="s">
        <v>521</v>
      </c>
      <c r="B262" s="5" t="s">
        <v>522</v>
      </c>
      <c r="C262" s="6"/>
      <c r="D262" s="6"/>
      <c r="E262" s="6"/>
      <c r="F262" s="7"/>
      <c r="G262" s="6"/>
      <c r="H262" s="6"/>
      <c r="I262" s="8">
        <f t="shared" si="4"/>
        <v>12</v>
      </c>
      <c r="J262" s="8" t="str">
        <f>IF(C262="","",IFERROR(CHOOSE(MATCH(C262,{"AC","AL","AM","AP","BA","CE","DF","ES","GO","MA","MT","MS","MG","PA","PB","PR","PE","PI","RN","RS","RO","RR","SC","SP","SE","TO"},0),19,20,20,18,20.5,20,20,17,19,23,17,17,18,19,20,19.5,20.5,22.5,20,17,19.5,20,17,18,20,20),"?"))</f>
        <v/>
      </c>
      <c r="K262" s="5"/>
    </row>
    <row r="263" spans="1:11" x14ac:dyDescent="0.25">
      <c r="A263" s="9" t="s">
        <v>523</v>
      </c>
      <c r="B263" s="9" t="s">
        <v>524</v>
      </c>
      <c r="C263" s="6"/>
      <c r="D263" s="6"/>
      <c r="E263" s="6"/>
      <c r="F263" s="7"/>
      <c r="G263" s="6"/>
      <c r="H263" s="6"/>
      <c r="I263" s="8">
        <f t="shared" si="4"/>
        <v>12</v>
      </c>
      <c r="J263" s="8" t="str">
        <f>IF(C263="","",IFERROR(CHOOSE(MATCH(C263,{"AC","AL","AM","AP","BA","CE","DF","ES","GO","MA","MT","MS","MG","PA","PB","PR","PE","PI","RN","RS","RO","RR","SC","SP","SE","TO"},0),19,20,20,18,20.5,20,20,17,19,23,17,17,18,19,20,19.5,20.5,22.5,20,17,19.5,20,17,18,20,20),"?"))</f>
        <v/>
      </c>
      <c r="K263" s="9"/>
    </row>
    <row r="264" spans="1:11" x14ac:dyDescent="0.25">
      <c r="A264" s="5" t="s">
        <v>525</v>
      </c>
      <c r="B264" s="5" t="s">
        <v>526</v>
      </c>
      <c r="C264" s="6"/>
      <c r="D264" s="6"/>
      <c r="E264" s="6"/>
      <c r="F264" s="7"/>
      <c r="G264" s="6"/>
      <c r="H264" s="6"/>
      <c r="I264" s="8">
        <f t="shared" si="4"/>
        <v>12</v>
      </c>
      <c r="J264" s="8" t="str">
        <f>IF(C264="","",IFERROR(CHOOSE(MATCH(C264,{"AC","AL","AM","AP","BA","CE","DF","ES","GO","MA","MT","MS","MG","PA","PB","PR","PE","PI","RN","RS","RO","RR","SC","SP","SE","TO"},0),19,20,20,18,20.5,20,20,17,19,23,17,17,18,19,20,19.5,20.5,22.5,20,17,19.5,20,17,18,20,20),"?"))</f>
        <v/>
      </c>
      <c r="K264" s="5"/>
    </row>
    <row r="265" spans="1:11" x14ac:dyDescent="0.25">
      <c r="A265" s="9" t="s">
        <v>527</v>
      </c>
      <c r="B265" s="9" t="s">
        <v>528</v>
      </c>
      <c r="C265" s="6"/>
      <c r="D265" s="6"/>
      <c r="E265" s="6"/>
      <c r="F265" s="7"/>
      <c r="G265" s="6"/>
      <c r="H265" s="6"/>
      <c r="I265" s="8">
        <f t="shared" si="4"/>
        <v>12</v>
      </c>
      <c r="J265" s="8" t="str">
        <f>IF(C265="","",IFERROR(CHOOSE(MATCH(C265,{"AC","AL","AM","AP","BA","CE","DF","ES","GO","MA","MT","MS","MG","PA","PB","PR","PE","PI","RN","RS","RO","RR","SC","SP","SE","TO"},0),19,20,20,18,20.5,20,20,17,19,23,17,17,18,19,20,19.5,20.5,22.5,20,17,19.5,20,17,18,20,20),"?"))</f>
        <v/>
      </c>
      <c r="K265" s="9"/>
    </row>
    <row r="266" spans="1:11" x14ac:dyDescent="0.25">
      <c r="A266" s="5" t="s">
        <v>529</v>
      </c>
      <c r="B266" s="5" t="s">
        <v>530</v>
      </c>
      <c r="C266" s="6"/>
      <c r="D266" s="6"/>
      <c r="E266" s="6"/>
      <c r="F266" s="7"/>
      <c r="G266" s="6"/>
      <c r="H266" s="6"/>
      <c r="I266" s="8">
        <f t="shared" si="4"/>
        <v>12</v>
      </c>
      <c r="J266" s="8" t="str">
        <f>IF(C266="","",IFERROR(CHOOSE(MATCH(C266,{"AC","AL","AM","AP","BA","CE","DF","ES","GO","MA","MT","MS","MG","PA","PB","PR","PE","PI","RN","RS","RO","RR","SC","SP","SE","TO"},0),19,20,20,18,20.5,20,20,17,19,23,17,17,18,19,20,19.5,20.5,22.5,20,17,19.5,20,17,18,20,20),"?"))</f>
        <v/>
      </c>
      <c r="K266" s="5"/>
    </row>
    <row r="267" spans="1:11" x14ac:dyDescent="0.25">
      <c r="A267" s="9" t="s">
        <v>531</v>
      </c>
      <c r="B267" s="9" t="s">
        <v>532</v>
      </c>
      <c r="C267" s="6"/>
      <c r="D267" s="6"/>
      <c r="E267" s="6"/>
      <c r="F267" s="7"/>
      <c r="G267" s="6"/>
      <c r="H267" s="6"/>
      <c r="I267" s="8">
        <f t="shared" si="4"/>
        <v>12</v>
      </c>
      <c r="J267" s="8" t="str">
        <f>IF(C267="","",IFERROR(CHOOSE(MATCH(C267,{"AC","AL","AM","AP","BA","CE","DF","ES","GO","MA","MT","MS","MG","PA","PB","PR","PE","PI","RN","RS","RO","RR","SC","SP","SE","TO"},0),19,20,20,18,20.5,20,20,17,19,23,17,17,18,19,20,19.5,20.5,22.5,20,17,19.5,20,17,18,20,20),"?"))</f>
        <v/>
      </c>
      <c r="K267" s="9"/>
    </row>
    <row r="268" spans="1:11" x14ac:dyDescent="0.25">
      <c r="A268" s="5" t="s">
        <v>533</v>
      </c>
      <c r="B268" s="5" t="s">
        <v>534</v>
      </c>
      <c r="C268" s="6"/>
      <c r="D268" s="6"/>
      <c r="E268" s="6"/>
      <c r="F268" s="7"/>
      <c r="G268" s="6"/>
      <c r="H268" s="6"/>
      <c r="I268" s="8">
        <f t="shared" si="4"/>
        <v>12</v>
      </c>
      <c r="J268" s="8" t="str">
        <f>IF(C268="","",IFERROR(CHOOSE(MATCH(C268,{"AC","AL","AM","AP","BA","CE","DF","ES","GO","MA","MT","MS","MG","PA","PB","PR","PE","PI","RN","RS","RO","RR","SC","SP","SE","TO"},0),19,20,20,18,20.5,20,20,17,19,23,17,17,18,19,20,19.5,20.5,22.5,20,17,19.5,20,17,18,20,20),"?"))</f>
        <v/>
      </c>
      <c r="K268" s="5"/>
    </row>
    <row r="269" spans="1:11" x14ac:dyDescent="0.25">
      <c r="A269" s="9" t="s">
        <v>535</v>
      </c>
      <c r="B269" s="9" t="s">
        <v>536</v>
      </c>
      <c r="C269" s="6"/>
      <c r="D269" s="6"/>
      <c r="E269" s="6"/>
      <c r="F269" s="7"/>
      <c r="G269" s="6"/>
      <c r="H269" s="6"/>
      <c r="I269" s="8">
        <f t="shared" si="4"/>
        <v>12</v>
      </c>
      <c r="J269" s="8" t="str">
        <f>IF(C269="","",IFERROR(CHOOSE(MATCH(C269,{"AC","AL","AM","AP","BA","CE","DF","ES","GO","MA","MT","MS","MG","PA","PB","PR","PE","PI","RN","RS","RO","RR","SC","SP","SE","TO"},0),19,20,20,18,20.5,20,20,17,19,23,17,17,18,19,20,19.5,20.5,22.5,20,17,19.5,20,17,18,20,20),"?"))</f>
        <v/>
      </c>
      <c r="K269" s="9"/>
    </row>
    <row r="270" spans="1:11" x14ac:dyDescent="0.25">
      <c r="A270" s="5" t="s">
        <v>537</v>
      </c>
      <c r="B270" s="5" t="s">
        <v>538</v>
      </c>
      <c r="C270" s="6"/>
      <c r="D270" s="6"/>
      <c r="E270" s="6"/>
      <c r="F270" s="7"/>
      <c r="G270" s="6"/>
      <c r="H270" s="6"/>
      <c r="I270" s="8">
        <f t="shared" si="4"/>
        <v>12</v>
      </c>
      <c r="J270" s="8" t="str">
        <f>IF(C270="","",IFERROR(CHOOSE(MATCH(C270,{"AC","AL","AM","AP","BA","CE","DF","ES","GO","MA","MT","MS","MG","PA","PB","PR","PE","PI","RN","RS","RO","RR","SC","SP","SE","TO"},0),19,20,20,18,20.5,20,20,17,19,23,17,17,18,19,20,19.5,20.5,22.5,20,17,19.5,20,17,18,20,20),"?"))</f>
        <v/>
      </c>
      <c r="K270" s="5"/>
    </row>
    <row r="271" spans="1:11" x14ac:dyDescent="0.25">
      <c r="A271" s="9" t="s">
        <v>539</v>
      </c>
      <c r="B271" s="9" t="s">
        <v>540</v>
      </c>
      <c r="C271" s="6"/>
      <c r="D271" s="6"/>
      <c r="E271" s="6"/>
      <c r="F271" s="7"/>
      <c r="G271" s="6"/>
      <c r="H271" s="6"/>
      <c r="I271" s="8">
        <f t="shared" si="4"/>
        <v>12</v>
      </c>
      <c r="J271" s="8" t="str">
        <f>IF(C271="","",IFERROR(CHOOSE(MATCH(C271,{"AC","AL","AM","AP","BA","CE","DF","ES","GO","MA","MT","MS","MG","PA","PB","PR","PE","PI","RN","RS","RO","RR","SC","SP","SE","TO"},0),19,20,20,18,20.5,20,20,17,19,23,17,17,18,19,20,19.5,20.5,22.5,20,17,19.5,20,17,18,20,20),"?"))</f>
        <v/>
      </c>
      <c r="K271" s="9"/>
    </row>
    <row r="272" spans="1:11" x14ac:dyDescent="0.25">
      <c r="A272" s="5" t="s">
        <v>541</v>
      </c>
      <c r="B272" s="5" t="s">
        <v>542</v>
      </c>
      <c r="C272" s="6"/>
      <c r="D272" s="6"/>
      <c r="E272" s="6"/>
      <c r="F272" s="7"/>
      <c r="G272" s="6"/>
      <c r="H272" s="6"/>
      <c r="I272" s="8">
        <f t="shared" si="4"/>
        <v>12</v>
      </c>
      <c r="J272" s="8" t="str">
        <f>IF(C272="","",IFERROR(CHOOSE(MATCH(C272,{"AC","AL","AM","AP","BA","CE","DF","ES","GO","MA","MT","MS","MG","PA","PB","PR","PE","PI","RN","RS","RO","RR","SC","SP","SE","TO"},0),19,20,20,18,20.5,20,20,17,19,23,17,17,18,19,20,19.5,20.5,22.5,20,17,19.5,20,17,18,20,20),"?"))</f>
        <v/>
      </c>
      <c r="K272" s="5"/>
    </row>
    <row r="273" spans="1:11" x14ac:dyDescent="0.25">
      <c r="A273" s="9" t="s">
        <v>543</v>
      </c>
      <c r="B273" s="9" t="s">
        <v>544</v>
      </c>
      <c r="C273" s="6"/>
      <c r="D273" s="6"/>
      <c r="E273" s="6"/>
      <c r="F273" s="7"/>
      <c r="G273" s="6"/>
      <c r="H273" s="6"/>
      <c r="I273" s="8">
        <f t="shared" si="4"/>
        <v>12</v>
      </c>
      <c r="J273" s="8" t="str">
        <f>IF(C273="","",IFERROR(CHOOSE(MATCH(C273,{"AC","AL","AM","AP","BA","CE","DF","ES","GO","MA","MT","MS","MG","PA","PB","PR","PE","PI","RN","RS","RO","RR","SC","SP","SE","TO"},0),19,20,20,18,20.5,20,20,17,19,23,17,17,18,19,20,19.5,20.5,22.5,20,17,19.5,20,17,18,20,20),"?"))</f>
        <v/>
      </c>
      <c r="K273" s="9"/>
    </row>
    <row r="274" spans="1:11" x14ac:dyDescent="0.25">
      <c r="A274" s="5" t="s">
        <v>545</v>
      </c>
      <c r="B274" s="5" t="s">
        <v>546</v>
      </c>
      <c r="C274" s="6"/>
      <c r="D274" s="6"/>
      <c r="E274" s="6"/>
      <c r="F274" s="7"/>
      <c r="G274" s="6"/>
      <c r="H274" s="6"/>
      <c r="I274" s="8">
        <f t="shared" si="4"/>
        <v>12</v>
      </c>
      <c r="J274" s="8" t="str">
        <f>IF(C274="","",IFERROR(CHOOSE(MATCH(C274,{"AC","AL","AM","AP","BA","CE","DF","ES","GO","MA","MT","MS","MG","PA","PB","PR","PE","PI","RN","RS","RO","RR","SC","SP","SE","TO"},0),19,20,20,18,20.5,20,20,17,19,23,17,17,18,19,20,19.5,20.5,22.5,20,17,19.5,20,17,18,20,20),"?"))</f>
        <v/>
      </c>
      <c r="K274" s="5"/>
    </row>
    <row r="275" spans="1:11" x14ac:dyDescent="0.25">
      <c r="A275" s="9" t="s">
        <v>547</v>
      </c>
      <c r="B275" s="9" t="s">
        <v>548</v>
      </c>
      <c r="C275" s="6"/>
      <c r="D275" s="6"/>
      <c r="E275" s="6"/>
      <c r="F275" s="7"/>
      <c r="G275" s="6"/>
      <c r="H275" s="6"/>
      <c r="I275" s="8">
        <f t="shared" si="4"/>
        <v>12</v>
      </c>
      <c r="J275" s="8" t="str">
        <f>IF(C275="","",IFERROR(CHOOSE(MATCH(C275,{"AC","AL","AM","AP","BA","CE","DF","ES","GO","MA","MT","MS","MG","PA","PB","PR","PE","PI","RN","RS","RO","RR","SC","SP","SE","TO"},0),19,20,20,18,20.5,20,20,17,19,23,17,17,18,19,20,19.5,20.5,22.5,20,17,19.5,20,17,18,20,20),"?"))</f>
        <v/>
      </c>
      <c r="K275" s="9"/>
    </row>
    <row r="276" spans="1:11" x14ac:dyDescent="0.25">
      <c r="A276" s="5" t="s">
        <v>549</v>
      </c>
      <c r="B276" s="5" t="s">
        <v>550</v>
      </c>
      <c r="C276" s="6"/>
      <c r="D276" s="6"/>
      <c r="E276" s="6"/>
      <c r="F276" s="7"/>
      <c r="G276" s="6"/>
      <c r="H276" s="6"/>
      <c r="I276" s="8">
        <f t="shared" si="4"/>
        <v>12</v>
      </c>
      <c r="J276" s="8" t="str">
        <f>IF(C276="","",IFERROR(CHOOSE(MATCH(C276,{"AC","AL","AM","AP","BA","CE","DF","ES","GO","MA","MT","MS","MG","PA","PB","PR","PE","PI","RN","RS","RO","RR","SC","SP","SE","TO"},0),19,20,20,18,20.5,20,20,17,19,23,17,17,18,19,20,19.5,20.5,22.5,20,17,19.5,20,17,18,20,20),"?"))</f>
        <v/>
      </c>
      <c r="K276" s="5"/>
    </row>
    <row r="277" spans="1:11" x14ac:dyDescent="0.25">
      <c r="A277" s="9" t="s">
        <v>551</v>
      </c>
      <c r="B277" s="9" t="s">
        <v>552</v>
      </c>
      <c r="C277" s="6"/>
      <c r="D277" s="6"/>
      <c r="E277" s="6"/>
      <c r="F277" s="7"/>
      <c r="G277" s="6"/>
      <c r="H277" s="6"/>
      <c r="I277" s="8">
        <f t="shared" si="4"/>
        <v>12</v>
      </c>
      <c r="J277" s="8" t="str">
        <f>IF(C277="","",IFERROR(CHOOSE(MATCH(C277,{"AC","AL","AM","AP","BA","CE","DF","ES","GO","MA","MT","MS","MG","PA","PB","PR","PE","PI","RN","RS","RO","RR","SC","SP","SE","TO"},0),19,20,20,18,20.5,20,20,17,19,23,17,17,18,19,20,19.5,20.5,22.5,20,17,19.5,20,17,18,20,20),"?"))</f>
        <v/>
      </c>
      <c r="K277" s="9"/>
    </row>
    <row r="278" spans="1:11" x14ac:dyDescent="0.25">
      <c r="A278" s="5" t="s">
        <v>553</v>
      </c>
      <c r="B278" s="5" t="s">
        <v>554</v>
      </c>
      <c r="C278" s="6"/>
      <c r="D278" s="6"/>
      <c r="E278" s="6"/>
      <c r="F278" s="7"/>
      <c r="G278" s="6"/>
      <c r="H278" s="6"/>
      <c r="I278" s="8">
        <f t="shared" si="4"/>
        <v>12</v>
      </c>
      <c r="J278" s="8" t="str">
        <f>IF(C278="","",IFERROR(CHOOSE(MATCH(C278,{"AC","AL","AM","AP","BA","CE","DF","ES","GO","MA","MT","MS","MG","PA","PB","PR","PE","PI","RN","RS","RO","RR","SC","SP","SE","TO"},0),19,20,20,18,20.5,20,20,17,19,23,17,17,18,19,20,19.5,20.5,22.5,20,17,19.5,20,17,18,20,20),"?"))</f>
        <v/>
      </c>
      <c r="K278" s="5"/>
    </row>
    <row r="279" spans="1:11" x14ac:dyDescent="0.25">
      <c r="A279" s="9" t="s">
        <v>555</v>
      </c>
      <c r="B279" s="9" t="s">
        <v>556</v>
      </c>
      <c r="C279" s="6"/>
      <c r="D279" s="6"/>
      <c r="E279" s="6"/>
      <c r="F279" s="7"/>
      <c r="G279" s="6"/>
      <c r="H279" s="6"/>
      <c r="I279" s="8">
        <f t="shared" si="4"/>
        <v>12</v>
      </c>
      <c r="J279" s="8" t="str">
        <f>IF(C279="","",IFERROR(CHOOSE(MATCH(C279,{"AC","AL","AM","AP","BA","CE","DF","ES","GO","MA","MT","MS","MG","PA","PB","PR","PE","PI","RN","RS","RO","RR","SC","SP","SE","TO"},0),19,20,20,18,20.5,20,20,17,19,23,17,17,18,19,20,19.5,20.5,22.5,20,17,19.5,20,17,18,20,20),"?"))</f>
        <v/>
      </c>
      <c r="K279" s="9"/>
    </row>
    <row r="280" spans="1:11" x14ac:dyDescent="0.25">
      <c r="A280" s="5" t="s">
        <v>557</v>
      </c>
      <c r="B280" s="5" t="s">
        <v>558</v>
      </c>
      <c r="C280" s="6"/>
      <c r="D280" s="6"/>
      <c r="E280" s="6"/>
      <c r="F280" s="7"/>
      <c r="G280" s="6"/>
      <c r="H280" s="6"/>
      <c r="I280" s="8">
        <f t="shared" si="4"/>
        <v>12</v>
      </c>
      <c r="J280" s="8" t="str">
        <f>IF(C280="","",IFERROR(CHOOSE(MATCH(C280,{"AC","AL","AM","AP","BA","CE","DF","ES","GO","MA","MT","MS","MG","PA","PB","PR","PE","PI","RN","RS","RO","RR","SC","SP","SE","TO"},0),19,20,20,18,20.5,20,20,17,19,23,17,17,18,19,20,19.5,20.5,22.5,20,17,19.5,20,17,18,20,20),"?"))</f>
        <v/>
      </c>
      <c r="K280" s="5"/>
    </row>
    <row r="281" spans="1:11" x14ac:dyDescent="0.25">
      <c r="A281" s="9" t="s">
        <v>559</v>
      </c>
      <c r="B281" s="9" t="s">
        <v>560</v>
      </c>
      <c r="C281" s="6"/>
      <c r="D281" s="6"/>
      <c r="E281" s="6"/>
      <c r="F281" s="7"/>
      <c r="G281" s="6"/>
      <c r="H281" s="6"/>
      <c r="I281" s="8">
        <f t="shared" si="4"/>
        <v>12</v>
      </c>
      <c r="J281" s="8" t="str">
        <f>IF(C281="","",IFERROR(CHOOSE(MATCH(C281,{"AC","AL","AM","AP","BA","CE","DF","ES","GO","MA","MT","MS","MG","PA","PB","PR","PE","PI","RN","RS","RO","RR","SC","SP","SE","TO"},0),19,20,20,18,20.5,20,20,17,19,23,17,17,18,19,20,19.5,20.5,22.5,20,17,19.5,20,17,18,20,20),"?"))</f>
        <v/>
      </c>
      <c r="K281" s="9"/>
    </row>
    <row r="282" spans="1:11" x14ac:dyDescent="0.25">
      <c r="A282" s="5" t="s">
        <v>561</v>
      </c>
      <c r="B282" s="5" t="s">
        <v>562</v>
      </c>
      <c r="C282" s="6"/>
      <c r="D282" s="6"/>
      <c r="E282" s="6"/>
      <c r="F282" s="7"/>
      <c r="G282" s="6"/>
      <c r="H282" s="6"/>
      <c r="I282" s="8">
        <f t="shared" si="4"/>
        <v>12</v>
      </c>
      <c r="J282" s="8" t="str">
        <f>IF(C282="","",IFERROR(CHOOSE(MATCH(C282,{"AC","AL","AM","AP","BA","CE","DF","ES","GO","MA","MT","MS","MG","PA","PB","PR","PE","PI","RN","RS","RO","RR","SC","SP","SE","TO"},0),19,20,20,18,20.5,20,20,17,19,23,17,17,18,19,20,19.5,20.5,22.5,20,17,19.5,20,17,18,20,20),"?"))</f>
        <v/>
      </c>
      <c r="K282" s="5"/>
    </row>
    <row r="283" spans="1:11" x14ac:dyDescent="0.25">
      <c r="A283" s="9" t="s">
        <v>563</v>
      </c>
      <c r="B283" s="9" t="s">
        <v>564</v>
      </c>
      <c r="C283" s="6"/>
      <c r="D283" s="6"/>
      <c r="E283" s="6"/>
      <c r="F283" s="7"/>
      <c r="G283" s="6"/>
      <c r="H283" s="6"/>
      <c r="I283" s="8">
        <f t="shared" si="4"/>
        <v>12</v>
      </c>
      <c r="J283" s="8" t="str">
        <f>IF(C283="","",IFERROR(CHOOSE(MATCH(C283,{"AC","AL","AM","AP","BA","CE","DF","ES","GO","MA","MT","MS","MG","PA","PB","PR","PE","PI","RN","RS","RO","RR","SC","SP","SE","TO"},0),19,20,20,18,20.5,20,20,17,19,23,17,17,18,19,20,19.5,20.5,22.5,20,17,19.5,20,17,18,20,20),"?"))</f>
        <v/>
      </c>
      <c r="K283" s="9"/>
    </row>
    <row r="284" spans="1:11" x14ac:dyDescent="0.25">
      <c r="A284" s="5" t="s">
        <v>565</v>
      </c>
      <c r="B284" s="5" t="s">
        <v>566</v>
      </c>
      <c r="C284" s="6"/>
      <c r="D284" s="6"/>
      <c r="E284" s="6"/>
      <c r="F284" s="7"/>
      <c r="G284" s="6"/>
      <c r="H284" s="6"/>
      <c r="I284" s="8">
        <f t="shared" si="4"/>
        <v>12</v>
      </c>
      <c r="J284" s="8" t="str">
        <f>IF(C284="","",IFERROR(CHOOSE(MATCH(C284,{"AC","AL","AM","AP","BA","CE","DF","ES","GO","MA","MT","MS","MG","PA","PB","PR","PE","PI","RN","RS","RO","RR","SC","SP","SE","TO"},0),19,20,20,18,20.5,20,20,17,19,23,17,17,18,19,20,19.5,20.5,22.5,20,17,19.5,20,17,18,20,20),"?"))</f>
        <v/>
      </c>
      <c r="K284" s="5"/>
    </row>
    <row r="285" spans="1:11" x14ac:dyDescent="0.25">
      <c r="A285" s="9" t="s">
        <v>567</v>
      </c>
      <c r="B285" s="9" t="s">
        <v>568</v>
      </c>
      <c r="C285" s="6"/>
      <c r="D285" s="6"/>
      <c r="E285" s="6"/>
      <c r="F285" s="7"/>
      <c r="G285" s="6"/>
      <c r="H285" s="6"/>
      <c r="I285" s="8">
        <f t="shared" si="4"/>
        <v>12</v>
      </c>
      <c r="J285" s="8" t="str">
        <f>IF(C285="","",IFERROR(CHOOSE(MATCH(C285,{"AC","AL","AM","AP","BA","CE","DF","ES","GO","MA","MT","MS","MG","PA","PB","PR","PE","PI","RN","RS","RO","RR","SC","SP","SE","TO"},0),19,20,20,18,20.5,20,20,17,19,23,17,17,18,19,20,19.5,20.5,22.5,20,17,19.5,20,17,18,20,20),"?"))</f>
        <v/>
      </c>
      <c r="K285" s="9"/>
    </row>
    <row r="286" spans="1:11" x14ac:dyDescent="0.25">
      <c r="A286" s="5" t="s">
        <v>569</v>
      </c>
      <c r="B286" s="5" t="s">
        <v>570</v>
      </c>
      <c r="C286" s="6"/>
      <c r="D286" s="6"/>
      <c r="E286" s="6"/>
      <c r="F286" s="7"/>
      <c r="G286" s="6"/>
      <c r="H286" s="6"/>
      <c r="I286" s="8">
        <f t="shared" si="4"/>
        <v>12</v>
      </c>
      <c r="J286" s="8" t="str">
        <f>IF(C286="","",IFERROR(CHOOSE(MATCH(C286,{"AC","AL","AM","AP","BA","CE","DF","ES","GO","MA","MT","MS","MG","PA","PB","PR","PE","PI","RN","RS","RO","RR","SC","SP","SE","TO"},0),19,20,20,18,20.5,20,20,17,19,23,17,17,18,19,20,19.5,20.5,22.5,20,17,19.5,20,17,18,20,20),"?"))</f>
        <v/>
      </c>
      <c r="K286" s="5"/>
    </row>
    <row r="287" spans="1:11" x14ac:dyDescent="0.25">
      <c r="A287" s="9" t="s">
        <v>571</v>
      </c>
      <c r="B287" s="9" t="s">
        <v>572</v>
      </c>
      <c r="C287" s="6"/>
      <c r="D287" s="6"/>
      <c r="E287" s="6"/>
      <c r="F287" s="7"/>
      <c r="G287" s="6"/>
      <c r="H287" s="6"/>
      <c r="I287" s="8">
        <f t="shared" si="4"/>
        <v>12</v>
      </c>
      <c r="J287" s="8" t="str">
        <f>IF(C287="","",IFERROR(CHOOSE(MATCH(C287,{"AC","AL","AM","AP","BA","CE","DF","ES","GO","MA","MT","MS","MG","PA","PB","PR","PE","PI","RN","RS","RO","RR","SC","SP","SE","TO"},0),19,20,20,18,20.5,20,20,17,19,23,17,17,18,19,20,19.5,20.5,22.5,20,17,19.5,20,17,18,20,20),"?"))</f>
        <v/>
      </c>
      <c r="K287" s="9"/>
    </row>
    <row r="288" spans="1:11" x14ac:dyDescent="0.25">
      <c r="A288" s="5" t="s">
        <v>573</v>
      </c>
      <c r="B288" s="5" t="s">
        <v>574</v>
      </c>
      <c r="C288" s="6"/>
      <c r="D288" s="6"/>
      <c r="E288" s="6"/>
      <c r="F288" s="7"/>
      <c r="G288" s="6"/>
      <c r="H288" s="6"/>
      <c r="I288" s="8">
        <f t="shared" si="4"/>
        <v>12</v>
      </c>
      <c r="J288" s="8" t="str">
        <f>IF(C288="","",IFERROR(CHOOSE(MATCH(C288,{"AC","AL","AM","AP","BA","CE","DF","ES","GO","MA","MT","MS","MG","PA","PB","PR","PE","PI","RN","RS","RO","RR","SC","SP","SE","TO"},0),19,20,20,18,20.5,20,20,17,19,23,17,17,18,19,20,19.5,20.5,22.5,20,17,19.5,20,17,18,20,20),"?"))</f>
        <v/>
      </c>
      <c r="K288" s="5"/>
    </row>
    <row r="289" spans="1:11" x14ac:dyDescent="0.25">
      <c r="A289" s="9" t="s">
        <v>575</v>
      </c>
      <c r="B289" s="9" t="s">
        <v>576</v>
      </c>
      <c r="C289" s="6"/>
      <c r="D289" s="6"/>
      <c r="E289" s="6"/>
      <c r="F289" s="7"/>
      <c r="G289" s="6"/>
      <c r="H289" s="6"/>
      <c r="I289" s="8">
        <f t="shared" si="4"/>
        <v>12</v>
      </c>
      <c r="J289" s="8" t="str">
        <f>IF(C289="","",IFERROR(CHOOSE(MATCH(C289,{"AC","AL","AM","AP","BA","CE","DF","ES","GO","MA","MT","MS","MG","PA","PB","PR","PE","PI","RN","RS","RO","RR","SC","SP","SE","TO"},0),19,20,20,18,20.5,20,20,17,19,23,17,17,18,19,20,19.5,20.5,22.5,20,17,19.5,20,17,18,20,20),"?"))</f>
        <v/>
      </c>
      <c r="K289" s="9"/>
    </row>
    <row r="290" spans="1:11" x14ac:dyDescent="0.25">
      <c r="A290" s="5" t="s">
        <v>577</v>
      </c>
      <c r="B290" s="5" t="s">
        <v>578</v>
      </c>
      <c r="C290" s="6"/>
      <c r="D290" s="6"/>
      <c r="E290" s="6"/>
      <c r="F290" s="7"/>
      <c r="G290" s="6"/>
      <c r="H290" s="6"/>
      <c r="I290" s="8">
        <f t="shared" si="4"/>
        <v>12</v>
      </c>
      <c r="J290" s="8" t="str">
        <f>IF(C290="","",IFERROR(CHOOSE(MATCH(C290,{"AC","AL","AM","AP","BA","CE","DF","ES","GO","MA","MT","MS","MG","PA","PB","PR","PE","PI","RN","RS","RO","RR","SC","SP","SE","TO"},0),19,20,20,18,20.5,20,20,17,19,23,17,17,18,19,20,19.5,20.5,22.5,20,17,19.5,20,17,18,20,20),"?"))</f>
        <v/>
      </c>
      <c r="K290" s="5"/>
    </row>
    <row r="291" spans="1:11" x14ac:dyDescent="0.25">
      <c r="A291" s="9" t="s">
        <v>579</v>
      </c>
      <c r="B291" s="9" t="s">
        <v>580</v>
      </c>
      <c r="C291" s="6"/>
      <c r="D291" s="6"/>
      <c r="E291" s="6"/>
      <c r="F291" s="7"/>
      <c r="G291" s="6"/>
      <c r="H291" s="6"/>
      <c r="I291" s="8">
        <f t="shared" si="4"/>
        <v>12</v>
      </c>
      <c r="J291" s="8" t="str">
        <f>IF(C291="","",IFERROR(CHOOSE(MATCH(C291,{"AC","AL","AM","AP","BA","CE","DF","ES","GO","MA","MT","MS","MG","PA","PB","PR","PE","PI","RN","RS","RO","RR","SC","SP","SE","TO"},0),19,20,20,18,20.5,20,20,17,19,23,17,17,18,19,20,19.5,20.5,22.5,20,17,19.5,20,17,18,20,20),"?"))</f>
        <v/>
      </c>
      <c r="K291" s="9"/>
    </row>
    <row r="292" spans="1:11" x14ac:dyDescent="0.25">
      <c r="A292" s="5" t="s">
        <v>581</v>
      </c>
      <c r="B292" s="5" t="s">
        <v>582</v>
      </c>
      <c r="C292" s="6"/>
      <c r="D292" s="6"/>
      <c r="E292" s="6"/>
      <c r="F292" s="7"/>
      <c r="G292" s="6"/>
      <c r="H292" s="6"/>
      <c r="I292" s="8">
        <f t="shared" si="4"/>
        <v>12</v>
      </c>
      <c r="J292" s="8" t="str">
        <f>IF(C292="","",IFERROR(CHOOSE(MATCH(C292,{"AC","AL","AM","AP","BA","CE","DF","ES","GO","MA","MT","MS","MG","PA","PB","PR","PE","PI","RN","RS","RO","RR","SC","SP","SE","TO"},0),19,20,20,18,20.5,20,20,17,19,23,17,17,18,19,20,19.5,20.5,22.5,20,17,19.5,20,17,18,20,20),"?"))</f>
        <v/>
      </c>
      <c r="K292" s="5"/>
    </row>
    <row r="293" spans="1:11" x14ac:dyDescent="0.25">
      <c r="A293" s="9" t="s">
        <v>583</v>
      </c>
      <c r="B293" s="9" t="s">
        <v>584</v>
      </c>
      <c r="C293" s="6"/>
      <c r="D293" s="6"/>
      <c r="E293" s="6"/>
      <c r="F293" s="7"/>
      <c r="G293" s="6"/>
      <c r="H293" s="6"/>
      <c r="I293" s="8">
        <f t="shared" si="4"/>
        <v>12</v>
      </c>
      <c r="J293" s="8" t="str">
        <f>IF(C293="","",IFERROR(CHOOSE(MATCH(C293,{"AC","AL","AM","AP","BA","CE","DF","ES","GO","MA","MT","MS","MG","PA","PB","PR","PE","PI","RN","RS","RO","RR","SC","SP","SE","TO"},0),19,20,20,18,20.5,20,20,17,19,23,17,17,18,19,20,19.5,20.5,22.5,20,17,19.5,20,17,18,20,20),"?"))</f>
        <v/>
      </c>
      <c r="K293" s="9"/>
    </row>
    <row r="294" spans="1:11" x14ac:dyDescent="0.25">
      <c r="A294" s="5" t="s">
        <v>585</v>
      </c>
      <c r="B294" s="5" t="s">
        <v>586</v>
      </c>
      <c r="C294" s="6"/>
      <c r="D294" s="6"/>
      <c r="E294" s="6"/>
      <c r="F294" s="7"/>
      <c r="G294" s="6"/>
      <c r="H294" s="6"/>
      <c r="I294" s="8">
        <f t="shared" si="4"/>
        <v>12</v>
      </c>
      <c r="J294" s="8" t="str">
        <f>IF(C294="","",IFERROR(CHOOSE(MATCH(C294,{"AC","AL","AM","AP","BA","CE","DF","ES","GO","MA","MT","MS","MG","PA","PB","PR","PE","PI","RN","RS","RO","RR","SC","SP","SE","TO"},0),19,20,20,18,20.5,20,20,17,19,23,17,17,18,19,20,19.5,20.5,22.5,20,17,19.5,20,17,18,20,20),"?"))</f>
        <v/>
      </c>
      <c r="K294" s="5"/>
    </row>
    <row r="295" spans="1:11" x14ac:dyDescent="0.25">
      <c r="A295" s="9" t="s">
        <v>587</v>
      </c>
      <c r="B295" s="9" t="s">
        <v>588</v>
      </c>
      <c r="C295" s="6"/>
      <c r="D295" s="6"/>
      <c r="E295" s="6"/>
      <c r="F295" s="7"/>
      <c r="G295" s="6"/>
      <c r="H295" s="6"/>
      <c r="I295" s="8">
        <f t="shared" si="4"/>
        <v>12</v>
      </c>
      <c r="J295" s="8" t="str">
        <f>IF(C295="","",IFERROR(CHOOSE(MATCH(C295,{"AC","AL","AM","AP","BA","CE","DF","ES","GO","MA","MT","MS","MG","PA","PB","PR","PE","PI","RN","RS","RO","RR","SC","SP","SE","TO"},0),19,20,20,18,20.5,20,20,17,19,23,17,17,18,19,20,19.5,20.5,22.5,20,17,19.5,20,17,18,20,20),"?"))</f>
        <v/>
      </c>
      <c r="K295" s="9"/>
    </row>
    <row r="296" spans="1:11" x14ac:dyDescent="0.25">
      <c r="A296" s="5" t="s">
        <v>589</v>
      </c>
      <c r="B296" s="5" t="s">
        <v>590</v>
      </c>
      <c r="C296" s="6"/>
      <c r="D296" s="6"/>
      <c r="E296" s="6"/>
      <c r="F296" s="7"/>
      <c r="G296" s="6"/>
      <c r="H296" s="6"/>
      <c r="I296" s="8">
        <f t="shared" si="4"/>
        <v>12</v>
      </c>
      <c r="J296" s="8" t="str">
        <f>IF(C296="","",IFERROR(CHOOSE(MATCH(C296,{"AC","AL","AM","AP","BA","CE","DF","ES","GO","MA","MT","MS","MG","PA","PB","PR","PE","PI","RN","RS","RO","RR","SC","SP","SE","TO"},0),19,20,20,18,20.5,20,20,17,19,23,17,17,18,19,20,19.5,20.5,22.5,20,17,19.5,20,17,18,20,20),"?"))</f>
        <v/>
      </c>
      <c r="K296" s="5"/>
    </row>
    <row r="297" spans="1:11" x14ac:dyDescent="0.25">
      <c r="A297" s="9" t="s">
        <v>591</v>
      </c>
      <c r="B297" s="9" t="s">
        <v>592</v>
      </c>
      <c r="C297" s="6"/>
      <c r="D297" s="6"/>
      <c r="E297" s="6"/>
      <c r="F297" s="7"/>
      <c r="G297" s="6"/>
      <c r="H297" s="6"/>
      <c r="I297" s="8">
        <f t="shared" si="4"/>
        <v>12</v>
      </c>
      <c r="J297" s="8" t="str">
        <f>IF(C297="","",IFERROR(CHOOSE(MATCH(C297,{"AC","AL","AM","AP","BA","CE","DF","ES","GO","MA","MT","MS","MG","PA","PB","PR","PE","PI","RN","RS","RO","RR","SC","SP","SE","TO"},0),19,20,20,18,20.5,20,20,17,19,23,17,17,18,19,20,19.5,20.5,22.5,20,17,19.5,20,17,18,20,20),"?"))</f>
        <v/>
      </c>
      <c r="K297" s="9"/>
    </row>
    <row r="298" spans="1:11" x14ac:dyDescent="0.25">
      <c r="A298" s="5" t="s">
        <v>593</v>
      </c>
      <c r="B298" s="5" t="s">
        <v>592</v>
      </c>
      <c r="C298" s="6"/>
      <c r="D298" s="6"/>
      <c r="E298" s="6"/>
      <c r="F298" s="7"/>
      <c r="G298" s="6"/>
      <c r="H298" s="6"/>
      <c r="I298" s="8">
        <f t="shared" si="4"/>
        <v>12</v>
      </c>
      <c r="J298" s="8" t="str">
        <f>IF(C298="","",IFERROR(CHOOSE(MATCH(C298,{"AC","AL","AM","AP","BA","CE","DF","ES","GO","MA","MT","MS","MG","PA","PB","PR","PE","PI","RN","RS","RO","RR","SC","SP","SE","TO"},0),19,20,20,18,20.5,20,20,17,19,23,17,17,18,19,20,19.5,20.5,22.5,20,17,19.5,20,17,18,20,20),"?"))</f>
        <v/>
      </c>
      <c r="K298" s="5"/>
    </row>
    <row r="299" spans="1:11" x14ac:dyDescent="0.25">
      <c r="A299" s="9" t="s">
        <v>594</v>
      </c>
      <c r="B299" s="9" t="s">
        <v>592</v>
      </c>
      <c r="C299" s="6"/>
      <c r="D299" s="6"/>
      <c r="E299" s="6"/>
      <c r="F299" s="7"/>
      <c r="G299" s="6"/>
      <c r="H299" s="6"/>
      <c r="I299" s="8">
        <f t="shared" si="4"/>
        <v>12</v>
      </c>
      <c r="J299" s="8" t="str">
        <f>IF(C299="","",IFERROR(CHOOSE(MATCH(C299,{"AC","AL","AM","AP","BA","CE","DF","ES","GO","MA","MT","MS","MG","PA","PB","PR","PE","PI","RN","RS","RO","RR","SC","SP","SE","TO"},0),19,20,20,18,20.5,20,20,17,19,23,17,17,18,19,20,19.5,20.5,22.5,20,17,19.5,20,17,18,20,20),"?"))</f>
        <v/>
      </c>
      <c r="K299" s="9"/>
    </row>
    <row r="300" spans="1:11" x14ac:dyDescent="0.25">
      <c r="A300" s="5" t="s">
        <v>595</v>
      </c>
      <c r="B300" s="5" t="s">
        <v>596</v>
      </c>
      <c r="C300" s="6"/>
      <c r="D300" s="6"/>
      <c r="E300" s="6"/>
      <c r="F300" s="7"/>
      <c r="G300" s="6"/>
      <c r="H300" s="6"/>
      <c r="I300" s="8">
        <f t="shared" si="4"/>
        <v>12</v>
      </c>
      <c r="J300" s="8" t="str">
        <f>IF(C300="","",IFERROR(CHOOSE(MATCH(C300,{"AC","AL","AM","AP","BA","CE","DF","ES","GO","MA","MT","MS","MG","PA","PB","PR","PE","PI","RN","RS","RO","RR","SC","SP","SE","TO"},0),19,20,20,18,20.5,20,20,17,19,23,17,17,18,19,20,19.5,20.5,22.5,20,17,19.5,20,17,18,20,20),"?"))</f>
        <v/>
      </c>
      <c r="K300" s="5"/>
    </row>
    <row r="301" spans="1:11" x14ac:dyDescent="0.25">
      <c r="A301" s="9" t="s">
        <v>597</v>
      </c>
      <c r="B301" s="9" t="s">
        <v>590</v>
      </c>
      <c r="C301" s="6"/>
      <c r="D301" s="6"/>
      <c r="E301" s="6"/>
      <c r="F301" s="7"/>
      <c r="G301" s="6"/>
      <c r="H301" s="6"/>
      <c r="I301" s="8">
        <f t="shared" si="4"/>
        <v>12</v>
      </c>
      <c r="J301" s="8" t="str">
        <f>IF(C301="","",IFERROR(CHOOSE(MATCH(C301,{"AC","AL","AM","AP","BA","CE","DF","ES","GO","MA","MT","MS","MG","PA","PB","PR","PE","PI","RN","RS","RO","RR","SC","SP","SE","TO"},0),19,20,20,18,20.5,20,20,17,19,23,17,17,18,19,20,19.5,20.5,22.5,20,17,19.5,20,17,18,20,20),"?"))</f>
        <v/>
      </c>
      <c r="K301" s="9"/>
    </row>
    <row r="302" spans="1:11" x14ac:dyDescent="0.25">
      <c r="A302" s="5" t="s">
        <v>598</v>
      </c>
      <c r="B302" s="5" t="s">
        <v>599</v>
      </c>
      <c r="C302" s="6"/>
      <c r="D302" s="6"/>
      <c r="E302" s="6"/>
      <c r="F302" s="7"/>
      <c r="G302" s="6"/>
      <c r="H302" s="6"/>
      <c r="I302" s="8">
        <f t="shared" si="4"/>
        <v>12</v>
      </c>
      <c r="J302" s="8" t="str">
        <f>IF(C302="","",IFERROR(CHOOSE(MATCH(C302,{"AC","AL","AM","AP","BA","CE","DF","ES","GO","MA","MT","MS","MG","PA","PB","PR","PE","PI","RN","RS","RO","RR","SC","SP","SE","TO"},0),19,20,20,18,20.5,20,20,17,19,23,17,17,18,19,20,19.5,20.5,22.5,20,17,19.5,20,17,18,20,20),"?"))</f>
        <v/>
      </c>
      <c r="K302" s="5"/>
    </row>
    <row r="303" spans="1:11" x14ac:dyDescent="0.25">
      <c r="A303" s="9" t="s">
        <v>600</v>
      </c>
      <c r="B303" s="9" t="s">
        <v>592</v>
      </c>
      <c r="C303" s="6"/>
      <c r="D303" s="6"/>
      <c r="E303" s="6"/>
      <c r="F303" s="7"/>
      <c r="G303" s="6"/>
      <c r="H303" s="6"/>
      <c r="I303" s="8">
        <f t="shared" si="4"/>
        <v>12</v>
      </c>
      <c r="J303" s="8" t="str">
        <f>IF(C303="","",IFERROR(CHOOSE(MATCH(C303,{"AC","AL","AM","AP","BA","CE","DF","ES","GO","MA","MT","MS","MG","PA","PB","PR","PE","PI","RN","RS","RO","RR","SC","SP","SE","TO"},0),19,20,20,18,20.5,20,20,17,19,23,17,17,18,19,20,19.5,20.5,22.5,20,17,19.5,20,17,18,20,20),"?"))</f>
        <v/>
      </c>
      <c r="K303" s="9"/>
    </row>
    <row r="304" spans="1:11" x14ac:dyDescent="0.25">
      <c r="A304" s="5" t="s">
        <v>601</v>
      </c>
      <c r="B304" s="5" t="s">
        <v>592</v>
      </c>
      <c r="C304" s="6"/>
      <c r="D304" s="6"/>
      <c r="E304" s="6"/>
      <c r="F304" s="7"/>
      <c r="G304" s="6"/>
      <c r="H304" s="6"/>
      <c r="I304" s="8">
        <f t="shared" si="4"/>
        <v>12</v>
      </c>
      <c r="J304" s="8" t="str">
        <f>IF(C304="","",IFERROR(CHOOSE(MATCH(C304,{"AC","AL","AM","AP","BA","CE","DF","ES","GO","MA","MT","MS","MG","PA","PB","PR","PE","PI","RN","RS","RO","RR","SC","SP","SE","TO"},0),19,20,20,18,20.5,20,20,17,19,23,17,17,18,19,20,19.5,20.5,22.5,20,17,19.5,20,17,18,20,20),"?"))</f>
        <v/>
      </c>
      <c r="K304" s="5"/>
    </row>
    <row r="305" spans="1:11" x14ac:dyDescent="0.25">
      <c r="A305" s="9" t="s">
        <v>602</v>
      </c>
      <c r="B305" s="9" t="s">
        <v>592</v>
      </c>
      <c r="C305" s="6"/>
      <c r="D305" s="6"/>
      <c r="E305" s="6"/>
      <c r="F305" s="7"/>
      <c r="G305" s="6"/>
      <c r="H305" s="6"/>
      <c r="I305" s="8">
        <f t="shared" si="4"/>
        <v>12</v>
      </c>
      <c r="J305" s="8" t="str">
        <f>IF(C305="","",IFERROR(CHOOSE(MATCH(C305,{"AC","AL","AM","AP","BA","CE","DF","ES","GO","MA","MT","MS","MG","PA","PB","PR","PE","PI","RN","RS","RO","RR","SC","SP","SE","TO"},0),19,20,20,18,20.5,20,20,17,19,23,17,17,18,19,20,19.5,20.5,22.5,20,17,19.5,20,17,18,20,20),"?"))</f>
        <v/>
      </c>
      <c r="K305" s="9"/>
    </row>
    <row r="306" spans="1:11" x14ac:dyDescent="0.25">
      <c r="A306" s="5" t="s">
        <v>603</v>
      </c>
      <c r="B306" s="5" t="s">
        <v>604</v>
      </c>
      <c r="C306" s="6"/>
      <c r="D306" s="6"/>
      <c r="E306" s="6"/>
      <c r="F306" s="7"/>
      <c r="G306" s="6"/>
      <c r="H306" s="6"/>
      <c r="I306" s="8">
        <f t="shared" si="4"/>
        <v>12</v>
      </c>
      <c r="J306" s="8" t="str">
        <f>IF(C306="","",IFERROR(CHOOSE(MATCH(C306,{"AC","AL","AM","AP","BA","CE","DF","ES","GO","MA","MT","MS","MG","PA","PB","PR","PE","PI","RN","RS","RO","RR","SC","SP","SE","TO"},0),19,20,20,18,20.5,20,20,17,19,23,17,17,18,19,20,19.5,20.5,22.5,20,17,19.5,20,17,18,20,20),"?"))</f>
        <v/>
      </c>
      <c r="K306" s="5"/>
    </row>
    <row r="307" spans="1:11" x14ac:dyDescent="0.25">
      <c r="A307" s="9" t="s">
        <v>605</v>
      </c>
      <c r="B307" s="9" t="s">
        <v>606</v>
      </c>
      <c r="C307" s="6"/>
      <c r="D307" s="6"/>
      <c r="E307" s="6"/>
      <c r="F307" s="7"/>
      <c r="G307" s="6"/>
      <c r="H307" s="6"/>
      <c r="I307" s="8">
        <f t="shared" si="4"/>
        <v>12</v>
      </c>
      <c r="J307" s="8" t="str">
        <f>IF(C307="","",IFERROR(CHOOSE(MATCH(C307,{"AC","AL","AM","AP","BA","CE","DF","ES","GO","MA","MT","MS","MG","PA","PB","PR","PE","PI","RN","RS","RO","RR","SC","SP","SE","TO"},0),19,20,20,18,20.5,20,20,17,19,23,17,17,18,19,20,19.5,20.5,22.5,20,17,19.5,20,17,18,20,20),"?"))</f>
        <v/>
      </c>
      <c r="K307" s="9"/>
    </row>
    <row r="308" spans="1:11" x14ac:dyDescent="0.25">
      <c r="A308" s="5" t="s">
        <v>607</v>
      </c>
      <c r="B308" s="5" t="s">
        <v>608</v>
      </c>
      <c r="C308" s="6"/>
      <c r="D308" s="6"/>
      <c r="E308" s="6"/>
      <c r="F308" s="7"/>
      <c r="G308" s="6"/>
      <c r="H308" s="6"/>
      <c r="I308" s="8">
        <f t="shared" si="4"/>
        <v>12</v>
      </c>
      <c r="J308" s="8" t="str">
        <f>IF(C308="","",IFERROR(CHOOSE(MATCH(C308,{"AC","AL","AM","AP","BA","CE","DF","ES","GO","MA","MT","MS","MG","PA","PB","PR","PE","PI","RN","RS","RO","RR","SC","SP","SE","TO"},0),19,20,20,18,20.5,20,20,17,19,23,17,17,18,19,20,19.5,20.5,22.5,20,17,19.5,20,17,18,20,20),"?"))</f>
        <v/>
      </c>
      <c r="K308" s="5"/>
    </row>
    <row r="309" spans="1:11" x14ac:dyDescent="0.25">
      <c r="A309" s="9" t="s">
        <v>609</v>
      </c>
      <c r="B309" s="9" t="s">
        <v>610</v>
      </c>
      <c r="C309" s="6"/>
      <c r="D309" s="6"/>
      <c r="E309" s="6"/>
      <c r="F309" s="7"/>
      <c r="G309" s="6"/>
      <c r="H309" s="6"/>
      <c r="I309" s="8">
        <f t="shared" si="4"/>
        <v>12</v>
      </c>
      <c r="J309" s="8" t="str">
        <f>IF(C309="","",IFERROR(CHOOSE(MATCH(C309,{"AC","AL","AM","AP","BA","CE","DF","ES","GO","MA","MT","MS","MG","PA","PB","PR","PE","PI","RN","RS","RO","RR","SC","SP","SE","TO"},0),19,20,20,18,20.5,20,20,17,19,23,17,17,18,19,20,19.5,20.5,22.5,20,17,19.5,20,17,18,20,20),"?"))</f>
        <v/>
      </c>
      <c r="K309" s="9"/>
    </row>
    <row r="310" spans="1:11" x14ac:dyDescent="0.25">
      <c r="A310" s="5" t="s">
        <v>611</v>
      </c>
      <c r="B310" s="5" t="s">
        <v>612</v>
      </c>
      <c r="C310" s="6"/>
      <c r="D310" s="6"/>
      <c r="E310" s="6"/>
      <c r="F310" s="7"/>
      <c r="G310" s="6"/>
      <c r="H310" s="6"/>
      <c r="I310" s="8">
        <f t="shared" si="4"/>
        <v>12</v>
      </c>
      <c r="J310" s="8" t="str">
        <f>IF(C310="","",IFERROR(CHOOSE(MATCH(C310,{"AC","AL","AM","AP","BA","CE","DF","ES","GO","MA","MT","MS","MG","PA","PB","PR","PE","PI","RN","RS","RO","RR","SC","SP","SE","TO"},0),19,20,20,18,20.5,20,20,17,19,23,17,17,18,19,20,19.5,20.5,22.5,20,17,19.5,20,17,18,20,20),"?"))</f>
        <v/>
      </c>
      <c r="K310" s="5"/>
    </row>
    <row r="311" spans="1:11" x14ac:dyDescent="0.25">
      <c r="A311" s="9" t="s">
        <v>613</v>
      </c>
      <c r="B311" s="9" t="s">
        <v>614</v>
      </c>
      <c r="C311" s="6"/>
      <c r="D311" s="6"/>
      <c r="E311" s="6"/>
      <c r="F311" s="7"/>
      <c r="G311" s="6"/>
      <c r="H311" s="6"/>
      <c r="I311" s="8">
        <f t="shared" si="4"/>
        <v>12</v>
      </c>
      <c r="J311" s="8" t="str">
        <f>IF(C311="","",IFERROR(CHOOSE(MATCH(C311,{"AC","AL","AM","AP","BA","CE","DF","ES","GO","MA","MT","MS","MG","PA","PB","PR","PE","PI","RN","RS","RO","RR","SC","SP","SE","TO"},0),19,20,20,18,20.5,20,20,17,19,23,17,17,18,19,20,19.5,20.5,22.5,20,17,19.5,20,17,18,20,20),"?"))</f>
        <v/>
      </c>
      <c r="K311" s="9"/>
    </row>
    <row r="312" spans="1:11" x14ac:dyDescent="0.25">
      <c r="A312" s="5" t="s">
        <v>615</v>
      </c>
      <c r="B312" s="5" t="s">
        <v>616</v>
      </c>
      <c r="C312" s="6"/>
      <c r="D312" s="6"/>
      <c r="E312" s="6"/>
      <c r="F312" s="7"/>
      <c r="G312" s="6"/>
      <c r="H312" s="6"/>
      <c r="I312" s="8">
        <f t="shared" si="4"/>
        <v>12</v>
      </c>
      <c r="J312" s="8" t="str">
        <f>IF(C312="","",IFERROR(CHOOSE(MATCH(C312,{"AC","AL","AM","AP","BA","CE","DF","ES","GO","MA","MT","MS","MG","PA","PB","PR","PE","PI","RN","RS","RO","RR","SC","SP","SE","TO"},0),19,20,20,18,20.5,20,20,17,19,23,17,17,18,19,20,19.5,20.5,22.5,20,17,19.5,20,17,18,20,20),"?"))</f>
        <v/>
      </c>
      <c r="K312" s="5"/>
    </row>
    <row r="313" spans="1:11" x14ac:dyDescent="0.25">
      <c r="A313" s="9" t="s">
        <v>617</v>
      </c>
      <c r="B313" s="9" t="s">
        <v>618</v>
      </c>
      <c r="C313" s="6"/>
      <c r="D313" s="6"/>
      <c r="E313" s="6"/>
      <c r="F313" s="7"/>
      <c r="G313" s="6"/>
      <c r="H313" s="6"/>
      <c r="I313" s="8">
        <f t="shared" si="4"/>
        <v>12</v>
      </c>
      <c r="J313" s="8" t="str">
        <f>IF(C313="","",IFERROR(CHOOSE(MATCH(C313,{"AC","AL","AM","AP","BA","CE","DF","ES","GO","MA","MT","MS","MG","PA","PB","PR","PE","PI","RN","RS","RO","RR","SC","SP","SE","TO"},0),19,20,20,18,20.5,20,20,17,19,23,17,17,18,19,20,19.5,20.5,22.5,20,17,19.5,20,17,18,20,20),"?"))</f>
        <v/>
      </c>
      <c r="K313" s="9"/>
    </row>
    <row r="314" spans="1:11" x14ac:dyDescent="0.25">
      <c r="A314" s="5" t="s">
        <v>619</v>
      </c>
      <c r="B314" s="5" t="s">
        <v>606</v>
      </c>
      <c r="C314" s="6"/>
      <c r="D314" s="6"/>
      <c r="E314" s="6"/>
      <c r="F314" s="7"/>
      <c r="G314" s="6"/>
      <c r="H314" s="6"/>
      <c r="I314" s="8">
        <f t="shared" si="4"/>
        <v>12</v>
      </c>
      <c r="J314" s="8" t="str">
        <f>IF(C314="","",IFERROR(CHOOSE(MATCH(C314,{"AC","AL","AM","AP","BA","CE","DF","ES","GO","MA","MT","MS","MG","PA","PB","PR","PE","PI","RN","RS","RO","RR","SC","SP","SE","TO"},0),19,20,20,18,20.5,20,20,17,19,23,17,17,18,19,20,19.5,20.5,22.5,20,17,19.5,20,17,18,20,20),"?"))</f>
        <v/>
      </c>
      <c r="K314" s="5"/>
    </row>
    <row r="315" spans="1:11" x14ac:dyDescent="0.25">
      <c r="A315" s="9" t="s">
        <v>620</v>
      </c>
      <c r="B315" s="9" t="s">
        <v>621</v>
      </c>
      <c r="C315" s="6"/>
      <c r="D315" s="6"/>
      <c r="E315" s="6"/>
      <c r="F315" s="7"/>
      <c r="G315" s="6"/>
      <c r="H315" s="6"/>
      <c r="I315" s="8">
        <f t="shared" si="4"/>
        <v>12</v>
      </c>
      <c r="J315" s="8" t="str">
        <f>IF(C315="","",IFERROR(CHOOSE(MATCH(C315,{"AC","AL","AM","AP","BA","CE","DF","ES","GO","MA","MT","MS","MG","PA","PB","PR","PE","PI","RN","RS","RO","RR","SC","SP","SE","TO"},0),19,20,20,18,20.5,20,20,17,19,23,17,17,18,19,20,19.5,20.5,22.5,20,17,19.5,20,17,18,20,20),"?"))</f>
        <v/>
      </c>
      <c r="K315" s="9"/>
    </row>
    <row r="316" spans="1:11" x14ac:dyDescent="0.25">
      <c r="A316" s="5" t="s">
        <v>622</v>
      </c>
      <c r="B316" s="5" t="s">
        <v>606</v>
      </c>
      <c r="C316" s="6"/>
      <c r="D316" s="6"/>
      <c r="E316" s="6"/>
      <c r="F316" s="7"/>
      <c r="G316" s="6"/>
      <c r="H316" s="6"/>
      <c r="I316" s="8">
        <f t="shared" si="4"/>
        <v>12</v>
      </c>
      <c r="J316" s="8" t="str">
        <f>IF(C316="","",IFERROR(CHOOSE(MATCH(C316,{"AC","AL","AM","AP","BA","CE","DF","ES","GO","MA","MT","MS","MG","PA","PB","PR","PE","PI","RN","RS","RO","RR","SC","SP","SE","TO"},0),19,20,20,18,20.5,20,20,17,19,23,17,17,18,19,20,19.5,20.5,22.5,20,17,19.5,20,17,18,20,20),"?"))</f>
        <v/>
      </c>
      <c r="K316" s="5"/>
    </row>
    <row r="317" spans="1:11" x14ac:dyDescent="0.25">
      <c r="A317" s="9" t="s">
        <v>623</v>
      </c>
      <c r="B317" s="9" t="s">
        <v>568</v>
      </c>
      <c r="C317" s="6"/>
      <c r="D317" s="6"/>
      <c r="E317" s="6"/>
      <c r="F317" s="7"/>
      <c r="G317" s="6"/>
      <c r="H317" s="6"/>
      <c r="I317" s="8">
        <f t="shared" si="4"/>
        <v>12</v>
      </c>
      <c r="J317" s="8" t="str">
        <f>IF(C317="","",IFERROR(CHOOSE(MATCH(C317,{"AC","AL","AM","AP","BA","CE","DF","ES","GO","MA","MT","MS","MG","PA","PB","PR","PE","PI","RN","RS","RO","RR","SC","SP","SE","TO"},0),19,20,20,18,20.5,20,20,17,19,23,17,17,18,19,20,19.5,20.5,22.5,20,17,19.5,20,17,18,20,20),"?"))</f>
        <v/>
      </c>
      <c r="K317" s="9"/>
    </row>
    <row r="318" spans="1:11" x14ac:dyDescent="0.25">
      <c r="A318" s="5" t="s">
        <v>624</v>
      </c>
      <c r="B318" s="5" t="s">
        <v>625</v>
      </c>
      <c r="C318" s="6"/>
      <c r="D318" s="6"/>
      <c r="E318" s="6"/>
      <c r="F318" s="7"/>
      <c r="G318" s="6"/>
      <c r="H318" s="6"/>
      <c r="I318" s="8">
        <f t="shared" si="4"/>
        <v>12</v>
      </c>
      <c r="J318" s="8" t="str">
        <f>IF(C318="","",IFERROR(CHOOSE(MATCH(C318,{"AC","AL","AM","AP","BA","CE","DF","ES","GO","MA","MT","MS","MG","PA","PB","PR","PE","PI","RN","RS","RO","RR","SC","SP","SE","TO"},0),19,20,20,18,20.5,20,20,17,19,23,17,17,18,19,20,19.5,20.5,22.5,20,17,19.5,20,17,18,20,20),"?"))</f>
        <v/>
      </c>
      <c r="K318" s="5"/>
    </row>
    <row r="319" spans="1:11" x14ac:dyDescent="0.25">
      <c r="A319" s="9" t="s">
        <v>624</v>
      </c>
      <c r="B319" s="9" t="s">
        <v>626</v>
      </c>
      <c r="C319" s="6"/>
      <c r="D319" s="6"/>
      <c r="E319" s="6"/>
      <c r="F319" s="7"/>
      <c r="G319" s="6"/>
      <c r="H319" s="6"/>
      <c r="I319" s="8">
        <f t="shared" si="4"/>
        <v>12</v>
      </c>
      <c r="J319" s="8" t="str">
        <f>IF(C319="","",IFERROR(CHOOSE(MATCH(C319,{"AC","AL","AM","AP","BA","CE","DF","ES","GO","MA","MT","MS","MG","PA","PB","PR","PE","PI","RN","RS","RO","RR","SC","SP","SE","TO"},0),19,20,20,18,20.5,20,20,17,19,23,17,17,18,19,20,19.5,20.5,22.5,20,17,19.5,20,17,18,20,20),"?"))</f>
        <v/>
      </c>
      <c r="K319" s="9"/>
    </row>
    <row r="320" spans="1:11" x14ac:dyDescent="0.25">
      <c r="A320" s="5" t="s">
        <v>627</v>
      </c>
      <c r="B320" s="5" t="s">
        <v>628</v>
      </c>
      <c r="C320" s="6"/>
      <c r="D320" s="6"/>
      <c r="E320" s="6"/>
      <c r="F320" s="7"/>
      <c r="G320" s="6"/>
      <c r="H320" s="6"/>
      <c r="I320" s="8">
        <f t="shared" si="4"/>
        <v>12</v>
      </c>
      <c r="J320" s="8" t="str">
        <f>IF(C320="","",IFERROR(CHOOSE(MATCH(C320,{"AC","AL","AM","AP","BA","CE","DF","ES","GO","MA","MT","MS","MG","PA","PB","PR","PE","PI","RN","RS","RO","RR","SC","SP","SE","TO"},0),19,20,20,18,20.5,20,20,17,19,23,17,17,18,19,20,19.5,20.5,22.5,20,17,19.5,20,17,18,20,20),"?"))</f>
        <v/>
      </c>
      <c r="K320" s="5"/>
    </row>
    <row r="321" spans="1:11" x14ac:dyDescent="0.25">
      <c r="A321" s="9" t="s">
        <v>629</v>
      </c>
      <c r="B321" s="9" t="s">
        <v>630</v>
      </c>
      <c r="C321" s="6"/>
      <c r="D321" s="6"/>
      <c r="E321" s="6"/>
      <c r="F321" s="7"/>
      <c r="G321" s="6"/>
      <c r="H321" s="6"/>
      <c r="I321" s="8">
        <f t="shared" si="4"/>
        <v>12</v>
      </c>
      <c r="J321" s="8" t="str">
        <f>IF(C321="","",IFERROR(CHOOSE(MATCH(C321,{"AC","AL","AM","AP","BA","CE","DF","ES","GO","MA","MT","MS","MG","PA","PB","PR","PE","PI","RN","RS","RO","RR","SC","SP","SE","TO"},0),19,20,20,18,20.5,20,20,17,19,23,17,17,18,19,20,19.5,20.5,22.5,20,17,19.5,20,17,18,20,20),"?"))</f>
        <v/>
      </c>
      <c r="K321" s="9"/>
    </row>
    <row r="322" spans="1:11" x14ac:dyDescent="0.25">
      <c r="A322" s="5" t="s">
        <v>631</v>
      </c>
      <c r="B322" s="5" t="s">
        <v>632</v>
      </c>
      <c r="C322" s="6"/>
      <c r="D322" s="6"/>
      <c r="E322" s="6"/>
      <c r="F322" s="7"/>
      <c r="G322" s="6"/>
      <c r="H322" s="6"/>
      <c r="I322" s="8">
        <f t="shared" si="4"/>
        <v>12</v>
      </c>
      <c r="J322" s="8" t="str">
        <f>IF(C322="","",IFERROR(CHOOSE(MATCH(C322,{"AC","AL","AM","AP","BA","CE","DF","ES","GO","MA","MT","MS","MG","PA","PB","PR","PE","PI","RN","RS","RO","RR","SC","SP","SE","TO"},0),19,20,20,18,20.5,20,20,17,19,23,17,17,18,19,20,19.5,20.5,22.5,20,17,19.5,20,17,18,20,20),"?"))</f>
        <v/>
      </c>
      <c r="K322" s="5"/>
    </row>
    <row r="323" spans="1:11" x14ac:dyDescent="0.25">
      <c r="A323" s="9" t="s">
        <v>633</v>
      </c>
      <c r="B323" s="9" t="s">
        <v>634</v>
      </c>
      <c r="C323" s="6"/>
      <c r="D323" s="6"/>
      <c r="E323" s="6"/>
      <c r="F323" s="7"/>
      <c r="G323" s="6"/>
      <c r="H323" s="6"/>
      <c r="I323" s="8">
        <f t="shared" si="4"/>
        <v>12</v>
      </c>
      <c r="J323" s="8" t="str">
        <f>IF(C323="","",IFERROR(CHOOSE(MATCH(C323,{"AC","AL","AM","AP","BA","CE","DF","ES","GO","MA","MT","MS","MG","PA","PB","PR","PE","PI","RN","RS","RO","RR","SC","SP","SE","TO"},0),19,20,20,18,20.5,20,20,17,19,23,17,17,18,19,20,19.5,20.5,22.5,20,17,19.5,20,17,18,20,20),"?"))</f>
        <v/>
      </c>
      <c r="K323" s="9"/>
    </row>
    <row r="324" spans="1:11" x14ac:dyDescent="0.25">
      <c r="A324" s="5" t="s">
        <v>635</v>
      </c>
      <c r="B324" s="5" t="s">
        <v>636</v>
      </c>
      <c r="C324" s="6"/>
      <c r="D324" s="6"/>
      <c r="E324" s="6"/>
      <c r="F324" s="7"/>
      <c r="G324" s="6"/>
      <c r="H324" s="6"/>
      <c r="I324" s="8">
        <f t="shared" ref="I324:I365" si="5">IF(G324="SIM",4,IF(OR(C324="MG",C324="SP",C324="PR",C324="RS",C324="SC",C324="ES"),7,12))</f>
        <v>12</v>
      </c>
      <c r="J324" s="8" t="str">
        <f>IF(C324="","",IFERROR(CHOOSE(MATCH(C324,{"AC","AL","AM","AP","BA","CE","DF","ES","GO","MA","MT","MS","MG","PA","PB","PR","PE","PI","RN","RS","RO","RR","SC","SP","SE","TO"},0),19,20,20,18,20.5,20,20,17,19,23,17,17,18,19,20,19.5,20.5,22.5,20,17,19.5,20,17,18,20,20),"?"))</f>
        <v/>
      </c>
      <c r="K324" s="5"/>
    </row>
    <row r="325" spans="1:11" x14ac:dyDescent="0.25">
      <c r="A325" s="9" t="s">
        <v>637</v>
      </c>
      <c r="B325" s="9" t="s">
        <v>638</v>
      </c>
      <c r="C325" s="6"/>
      <c r="D325" s="6"/>
      <c r="E325" s="6"/>
      <c r="F325" s="7"/>
      <c r="G325" s="6"/>
      <c r="H325" s="6"/>
      <c r="I325" s="8">
        <f t="shared" si="5"/>
        <v>12</v>
      </c>
      <c r="J325" s="8" t="str">
        <f>IF(C325="","",IFERROR(CHOOSE(MATCH(C325,{"AC","AL","AM","AP","BA","CE","DF","ES","GO","MA","MT","MS","MG","PA","PB","PR","PE","PI","RN","RS","RO","RR","SC","SP","SE","TO"},0),19,20,20,18,20.5,20,20,17,19,23,17,17,18,19,20,19.5,20.5,22.5,20,17,19.5,20,17,18,20,20),"?"))</f>
        <v/>
      </c>
      <c r="K325" s="9"/>
    </row>
    <row r="326" spans="1:11" x14ac:dyDescent="0.25">
      <c r="A326" s="5" t="s">
        <v>639</v>
      </c>
      <c r="B326" s="5" t="s">
        <v>640</v>
      </c>
      <c r="C326" s="6"/>
      <c r="D326" s="6"/>
      <c r="E326" s="6"/>
      <c r="F326" s="7"/>
      <c r="G326" s="6"/>
      <c r="H326" s="6"/>
      <c r="I326" s="8">
        <f t="shared" si="5"/>
        <v>12</v>
      </c>
      <c r="J326" s="8" t="str">
        <f>IF(C326="","",IFERROR(CHOOSE(MATCH(C326,{"AC","AL","AM","AP","BA","CE","DF","ES","GO","MA","MT","MS","MG","PA","PB","PR","PE","PI","RN","RS","RO","RR","SC","SP","SE","TO"},0),19,20,20,18,20.5,20,20,17,19,23,17,17,18,19,20,19.5,20.5,22.5,20,17,19.5,20,17,18,20,20),"?"))</f>
        <v/>
      </c>
      <c r="K326" s="5"/>
    </row>
    <row r="327" spans="1:11" x14ac:dyDescent="0.25">
      <c r="A327" s="9" t="s">
        <v>641</v>
      </c>
      <c r="B327" s="9" t="s">
        <v>642</v>
      </c>
      <c r="C327" s="6"/>
      <c r="D327" s="6"/>
      <c r="E327" s="6"/>
      <c r="F327" s="7"/>
      <c r="G327" s="6"/>
      <c r="H327" s="6"/>
      <c r="I327" s="8">
        <f t="shared" si="5"/>
        <v>12</v>
      </c>
      <c r="J327" s="8" t="str">
        <f>IF(C327="","",IFERROR(CHOOSE(MATCH(C327,{"AC","AL","AM","AP","BA","CE","DF","ES","GO","MA","MT","MS","MG","PA","PB","PR","PE","PI","RN","RS","RO","RR","SC","SP","SE","TO"},0),19,20,20,18,20.5,20,20,17,19,23,17,17,18,19,20,19.5,20.5,22.5,20,17,19.5,20,17,18,20,20),"?"))</f>
        <v/>
      </c>
      <c r="K327" s="9"/>
    </row>
    <row r="328" spans="1:11" x14ac:dyDescent="0.25">
      <c r="A328" s="5" t="s">
        <v>643</v>
      </c>
      <c r="B328" s="5" t="s">
        <v>644</v>
      </c>
      <c r="C328" s="6"/>
      <c r="D328" s="6"/>
      <c r="E328" s="6"/>
      <c r="F328" s="7"/>
      <c r="G328" s="6"/>
      <c r="H328" s="6"/>
      <c r="I328" s="8">
        <f t="shared" si="5"/>
        <v>12</v>
      </c>
      <c r="J328" s="8" t="str">
        <f>IF(C328="","",IFERROR(CHOOSE(MATCH(C328,{"AC","AL","AM","AP","BA","CE","DF","ES","GO","MA","MT","MS","MG","PA","PB","PR","PE","PI","RN","RS","RO","RR","SC","SP","SE","TO"},0),19,20,20,18,20.5,20,20,17,19,23,17,17,18,19,20,19.5,20.5,22.5,20,17,19.5,20,17,18,20,20),"?"))</f>
        <v/>
      </c>
      <c r="K328" s="5"/>
    </row>
    <row r="329" spans="1:11" x14ac:dyDescent="0.25">
      <c r="A329" s="9" t="s">
        <v>645</v>
      </c>
      <c r="B329" s="9" t="s">
        <v>646</v>
      </c>
      <c r="C329" s="6"/>
      <c r="D329" s="6"/>
      <c r="E329" s="6"/>
      <c r="F329" s="7"/>
      <c r="G329" s="6"/>
      <c r="H329" s="6"/>
      <c r="I329" s="8">
        <f t="shared" si="5"/>
        <v>12</v>
      </c>
      <c r="J329" s="8" t="str">
        <f>IF(C329="","",IFERROR(CHOOSE(MATCH(C329,{"AC","AL","AM","AP","BA","CE","DF","ES","GO","MA","MT","MS","MG","PA","PB","PR","PE","PI","RN","RS","RO","RR","SC","SP","SE","TO"},0),19,20,20,18,20.5,20,20,17,19,23,17,17,18,19,20,19.5,20.5,22.5,20,17,19.5,20,17,18,20,20),"?"))</f>
        <v/>
      </c>
      <c r="K329" s="9"/>
    </row>
    <row r="330" spans="1:11" x14ac:dyDescent="0.25">
      <c r="A330" s="5" t="s">
        <v>647</v>
      </c>
      <c r="B330" s="5" t="s">
        <v>648</v>
      </c>
      <c r="C330" s="6"/>
      <c r="D330" s="6"/>
      <c r="E330" s="6"/>
      <c r="F330" s="7"/>
      <c r="G330" s="6"/>
      <c r="H330" s="6"/>
      <c r="I330" s="8">
        <f t="shared" si="5"/>
        <v>12</v>
      </c>
      <c r="J330" s="8" t="str">
        <f>IF(C330="","",IFERROR(CHOOSE(MATCH(C330,{"AC","AL","AM","AP","BA","CE","DF","ES","GO","MA","MT","MS","MG","PA","PB","PR","PE","PI","RN","RS","RO","RR","SC","SP","SE","TO"},0),19,20,20,18,20.5,20,20,17,19,23,17,17,18,19,20,19.5,20.5,22.5,20,17,19.5,20,17,18,20,20),"?"))</f>
        <v/>
      </c>
      <c r="K330" s="5"/>
    </row>
    <row r="331" spans="1:11" x14ac:dyDescent="0.25">
      <c r="A331" s="9" t="s">
        <v>649</v>
      </c>
      <c r="B331" s="9" t="s">
        <v>650</v>
      </c>
      <c r="C331" s="6"/>
      <c r="D331" s="6"/>
      <c r="E331" s="6"/>
      <c r="F331" s="7"/>
      <c r="G331" s="6"/>
      <c r="H331" s="6"/>
      <c r="I331" s="8">
        <f t="shared" si="5"/>
        <v>12</v>
      </c>
      <c r="J331" s="8" t="str">
        <f>IF(C331="","",IFERROR(CHOOSE(MATCH(C331,{"AC","AL","AM","AP","BA","CE","DF","ES","GO","MA","MT","MS","MG","PA","PB","PR","PE","PI","RN","RS","RO","RR","SC","SP","SE","TO"},0),19,20,20,18,20.5,20,20,17,19,23,17,17,18,19,20,19.5,20.5,22.5,20,17,19.5,20,17,18,20,20),"?"))</f>
        <v/>
      </c>
      <c r="K331" s="9"/>
    </row>
    <row r="332" spans="1:11" x14ac:dyDescent="0.25">
      <c r="A332" s="5" t="s">
        <v>651</v>
      </c>
      <c r="B332" s="5" t="s">
        <v>652</v>
      </c>
      <c r="C332" s="6"/>
      <c r="D332" s="6"/>
      <c r="E332" s="6"/>
      <c r="F332" s="7"/>
      <c r="G332" s="6"/>
      <c r="H332" s="6"/>
      <c r="I332" s="8">
        <f t="shared" si="5"/>
        <v>12</v>
      </c>
      <c r="J332" s="8" t="str">
        <f>IF(C332="","",IFERROR(CHOOSE(MATCH(C332,{"AC","AL","AM","AP","BA","CE","DF","ES","GO","MA","MT","MS","MG","PA","PB","PR","PE","PI","RN","RS","RO","RR","SC","SP","SE","TO"},0),19,20,20,18,20.5,20,20,17,19,23,17,17,18,19,20,19.5,20.5,22.5,20,17,19.5,20,17,18,20,20),"?"))</f>
        <v/>
      </c>
      <c r="K332" s="5"/>
    </row>
    <row r="333" spans="1:11" x14ac:dyDescent="0.25">
      <c r="A333" s="9" t="s">
        <v>653</v>
      </c>
      <c r="B333" s="9" t="s">
        <v>654</v>
      </c>
      <c r="C333" s="6"/>
      <c r="D333" s="6"/>
      <c r="E333" s="6"/>
      <c r="F333" s="7"/>
      <c r="G333" s="6"/>
      <c r="H333" s="6"/>
      <c r="I333" s="8">
        <f t="shared" si="5"/>
        <v>12</v>
      </c>
      <c r="J333" s="8" t="str">
        <f>IF(C333="","",IFERROR(CHOOSE(MATCH(C333,{"AC","AL","AM","AP","BA","CE","DF","ES","GO","MA","MT","MS","MG","PA","PB","PR","PE","PI","RN","RS","RO","RR","SC","SP","SE","TO"},0),19,20,20,18,20.5,20,20,17,19,23,17,17,18,19,20,19.5,20.5,22.5,20,17,19.5,20,17,18,20,20),"?"))</f>
        <v/>
      </c>
      <c r="K333" s="9"/>
    </row>
    <row r="334" spans="1:11" x14ac:dyDescent="0.25">
      <c r="A334" s="5" t="s">
        <v>655</v>
      </c>
      <c r="B334" s="5" t="s">
        <v>656</v>
      </c>
      <c r="C334" s="6"/>
      <c r="D334" s="6"/>
      <c r="E334" s="6"/>
      <c r="F334" s="7"/>
      <c r="G334" s="6"/>
      <c r="H334" s="6"/>
      <c r="I334" s="8">
        <f t="shared" si="5"/>
        <v>12</v>
      </c>
      <c r="J334" s="8" t="str">
        <f>IF(C334="","",IFERROR(CHOOSE(MATCH(C334,{"AC","AL","AM","AP","BA","CE","DF","ES","GO","MA","MT","MS","MG","PA","PB","PR","PE","PI","RN","RS","RO","RR","SC","SP","SE","TO"},0),19,20,20,18,20.5,20,20,17,19,23,17,17,18,19,20,19.5,20.5,22.5,20,17,19.5,20,17,18,20,20),"?"))</f>
        <v/>
      </c>
      <c r="K334" s="5"/>
    </row>
    <row r="335" spans="1:11" x14ac:dyDescent="0.25">
      <c r="A335" s="9" t="s">
        <v>657</v>
      </c>
      <c r="B335" s="9" t="s">
        <v>658</v>
      </c>
      <c r="C335" s="6"/>
      <c r="D335" s="6"/>
      <c r="E335" s="6"/>
      <c r="F335" s="7"/>
      <c r="G335" s="6"/>
      <c r="H335" s="6"/>
      <c r="I335" s="8">
        <f t="shared" si="5"/>
        <v>12</v>
      </c>
      <c r="J335" s="8" t="str">
        <f>IF(C335="","",IFERROR(CHOOSE(MATCH(C335,{"AC","AL","AM","AP","BA","CE","DF","ES","GO","MA","MT","MS","MG","PA","PB","PR","PE","PI","RN","RS","RO","RR","SC","SP","SE","TO"},0),19,20,20,18,20.5,20,20,17,19,23,17,17,18,19,20,19.5,20.5,22.5,20,17,19.5,20,17,18,20,20),"?"))</f>
        <v/>
      </c>
      <c r="K335" s="9"/>
    </row>
    <row r="336" spans="1:11" x14ac:dyDescent="0.25">
      <c r="A336" s="5" t="s">
        <v>659</v>
      </c>
      <c r="B336" s="5" t="s">
        <v>660</v>
      </c>
      <c r="C336" s="6"/>
      <c r="D336" s="6"/>
      <c r="E336" s="6"/>
      <c r="F336" s="7"/>
      <c r="G336" s="6"/>
      <c r="H336" s="6"/>
      <c r="I336" s="8">
        <f t="shared" si="5"/>
        <v>12</v>
      </c>
      <c r="J336" s="8" t="str">
        <f>IF(C336="","",IFERROR(CHOOSE(MATCH(C336,{"AC","AL","AM","AP","BA","CE","DF","ES","GO","MA","MT","MS","MG","PA","PB","PR","PE","PI","RN","RS","RO","RR","SC","SP","SE","TO"},0),19,20,20,18,20.5,20,20,17,19,23,17,17,18,19,20,19.5,20.5,22.5,20,17,19.5,20,17,18,20,20),"?"))</f>
        <v/>
      </c>
      <c r="K336" s="5"/>
    </row>
    <row r="337" spans="1:11" x14ac:dyDescent="0.25">
      <c r="A337" s="9" t="s">
        <v>661</v>
      </c>
      <c r="B337" s="9" t="s">
        <v>662</v>
      </c>
      <c r="C337" s="6"/>
      <c r="D337" s="6"/>
      <c r="E337" s="6"/>
      <c r="F337" s="7"/>
      <c r="G337" s="6"/>
      <c r="H337" s="6"/>
      <c r="I337" s="8">
        <f t="shared" si="5"/>
        <v>12</v>
      </c>
      <c r="J337" s="8" t="str">
        <f>IF(C337="","",IFERROR(CHOOSE(MATCH(C337,{"AC","AL","AM","AP","BA","CE","DF","ES","GO","MA","MT","MS","MG","PA","PB","PR","PE","PI","RN","RS","RO","RR","SC","SP","SE","TO"},0),19,20,20,18,20.5,20,20,17,19,23,17,17,18,19,20,19.5,20.5,22.5,20,17,19.5,20,17,18,20,20),"?"))</f>
        <v/>
      </c>
      <c r="K337" s="9"/>
    </row>
    <row r="338" spans="1:11" x14ac:dyDescent="0.25">
      <c r="A338" s="5" t="s">
        <v>663</v>
      </c>
      <c r="B338" s="5" t="s">
        <v>664</v>
      </c>
      <c r="C338" s="6"/>
      <c r="D338" s="6"/>
      <c r="E338" s="6"/>
      <c r="F338" s="7"/>
      <c r="G338" s="6"/>
      <c r="H338" s="6"/>
      <c r="I338" s="8">
        <f t="shared" si="5"/>
        <v>12</v>
      </c>
      <c r="J338" s="8" t="str">
        <f>IF(C338="","",IFERROR(CHOOSE(MATCH(C338,{"AC","AL","AM","AP","BA","CE","DF","ES","GO","MA","MT","MS","MG","PA","PB","PR","PE","PI","RN","RS","RO","RR","SC","SP","SE","TO"},0),19,20,20,18,20.5,20,20,17,19,23,17,17,18,19,20,19.5,20.5,22.5,20,17,19.5,20,17,18,20,20),"?"))</f>
        <v/>
      </c>
      <c r="K338" s="5"/>
    </row>
    <row r="339" spans="1:11" x14ac:dyDescent="0.25">
      <c r="A339" s="9" t="s">
        <v>665</v>
      </c>
      <c r="B339" s="9" t="s">
        <v>666</v>
      </c>
      <c r="C339" s="6"/>
      <c r="D339" s="6"/>
      <c r="E339" s="6"/>
      <c r="F339" s="7"/>
      <c r="G339" s="6"/>
      <c r="H339" s="6"/>
      <c r="I339" s="8">
        <f t="shared" si="5"/>
        <v>12</v>
      </c>
      <c r="J339" s="8" t="str">
        <f>IF(C339="","",IFERROR(CHOOSE(MATCH(C339,{"AC","AL","AM","AP","BA","CE","DF","ES","GO","MA","MT","MS","MG","PA","PB","PR","PE","PI","RN","RS","RO","RR","SC","SP","SE","TO"},0),19,20,20,18,20.5,20,20,17,19,23,17,17,18,19,20,19.5,20.5,22.5,20,17,19.5,20,17,18,20,20),"?"))</f>
        <v/>
      </c>
      <c r="K339" s="9"/>
    </row>
    <row r="340" spans="1:11" x14ac:dyDescent="0.25">
      <c r="A340" s="5" t="s">
        <v>667</v>
      </c>
      <c r="B340" s="5" t="s">
        <v>668</v>
      </c>
      <c r="C340" s="6"/>
      <c r="D340" s="6"/>
      <c r="E340" s="6"/>
      <c r="F340" s="7"/>
      <c r="G340" s="6"/>
      <c r="H340" s="6"/>
      <c r="I340" s="8">
        <f t="shared" si="5"/>
        <v>12</v>
      </c>
      <c r="J340" s="8" t="str">
        <f>IF(C340="","",IFERROR(CHOOSE(MATCH(C340,{"AC","AL","AM","AP","BA","CE","DF","ES","GO","MA","MT","MS","MG","PA","PB","PR","PE","PI","RN","RS","RO","RR","SC","SP","SE","TO"},0),19,20,20,18,20.5,20,20,17,19,23,17,17,18,19,20,19.5,20.5,22.5,20,17,19.5,20,17,18,20,20),"?"))</f>
        <v/>
      </c>
      <c r="K340" s="5"/>
    </row>
    <row r="341" spans="1:11" x14ac:dyDescent="0.25">
      <c r="A341" s="9" t="s">
        <v>669</v>
      </c>
      <c r="B341" s="9" t="s">
        <v>670</v>
      </c>
      <c r="C341" s="6"/>
      <c r="D341" s="6"/>
      <c r="E341" s="6"/>
      <c r="F341" s="7"/>
      <c r="G341" s="6"/>
      <c r="H341" s="6"/>
      <c r="I341" s="8">
        <f t="shared" si="5"/>
        <v>12</v>
      </c>
      <c r="J341" s="8" t="str">
        <f>IF(C341="","",IFERROR(CHOOSE(MATCH(C341,{"AC","AL","AM","AP","BA","CE","DF","ES","GO","MA","MT","MS","MG","PA","PB","PR","PE","PI","RN","RS","RO","RR","SC","SP","SE","TO"},0),19,20,20,18,20.5,20,20,17,19,23,17,17,18,19,20,19.5,20.5,22.5,20,17,19.5,20,17,18,20,20),"?"))</f>
        <v/>
      </c>
      <c r="K341" s="9"/>
    </row>
    <row r="342" spans="1:11" x14ac:dyDescent="0.25">
      <c r="A342" s="5" t="s">
        <v>671</v>
      </c>
      <c r="B342" s="5" t="s">
        <v>672</v>
      </c>
      <c r="C342" s="6"/>
      <c r="D342" s="6"/>
      <c r="E342" s="6"/>
      <c r="F342" s="7"/>
      <c r="G342" s="6"/>
      <c r="H342" s="6"/>
      <c r="I342" s="8">
        <f t="shared" si="5"/>
        <v>12</v>
      </c>
      <c r="J342" s="8" t="str">
        <f>IF(C342="","",IFERROR(CHOOSE(MATCH(C342,{"AC","AL","AM","AP","BA","CE","DF","ES","GO","MA","MT","MS","MG","PA","PB","PR","PE","PI","RN","RS","RO","RR","SC","SP","SE","TO"},0),19,20,20,18,20.5,20,20,17,19,23,17,17,18,19,20,19.5,20.5,22.5,20,17,19.5,20,17,18,20,20),"?"))</f>
        <v/>
      </c>
      <c r="K342" s="5"/>
    </row>
    <row r="343" spans="1:11" x14ac:dyDescent="0.25">
      <c r="A343" s="9" t="s">
        <v>673</v>
      </c>
      <c r="B343" s="9" t="s">
        <v>674</v>
      </c>
      <c r="C343" s="6"/>
      <c r="D343" s="6"/>
      <c r="E343" s="6"/>
      <c r="F343" s="7"/>
      <c r="G343" s="6"/>
      <c r="H343" s="6"/>
      <c r="I343" s="8">
        <f t="shared" si="5"/>
        <v>12</v>
      </c>
      <c r="J343" s="8" t="str">
        <f>IF(C343="","",IFERROR(CHOOSE(MATCH(C343,{"AC","AL","AM","AP","BA","CE","DF","ES","GO","MA","MT","MS","MG","PA","PB","PR","PE","PI","RN","RS","RO","RR","SC","SP","SE","TO"},0),19,20,20,18,20.5,20,20,17,19,23,17,17,18,19,20,19.5,20.5,22.5,20,17,19.5,20,17,18,20,20),"?"))</f>
        <v/>
      </c>
      <c r="K343" s="9"/>
    </row>
    <row r="344" spans="1:11" x14ac:dyDescent="0.25">
      <c r="A344" s="5" t="s">
        <v>673</v>
      </c>
      <c r="B344" s="5" t="s">
        <v>360</v>
      </c>
      <c r="C344" s="6"/>
      <c r="D344" s="6"/>
      <c r="E344" s="6"/>
      <c r="F344" s="7"/>
      <c r="G344" s="6"/>
      <c r="H344" s="6"/>
      <c r="I344" s="8">
        <f t="shared" si="5"/>
        <v>12</v>
      </c>
      <c r="J344" s="8" t="str">
        <f>IF(C344="","",IFERROR(CHOOSE(MATCH(C344,{"AC","AL","AM","AP","BA","CE","DF","ES","GO","MA","MT","MS","MG","PA","PB","PR","PE","PI","RN","RS","RO","RR","SC","SP","SE","TO"},0),19,20,20,18,20.5,20,20,17,19,23,17,17,18,19,20,19.5,20.5,22.5,20,17,19.5,20,17,18,20,20),"?"))</f>
        <v/>
      </c>
      <c r="K344" s="5"/>
    </row>
    <row r="345" spans="1:11" x14ac:dyDescent="0.25">
      <c r="A345" s="9" t="s">
        <v>675</v>
      </c>
      <c r="B345" s="9" t="s">
        <v>676</v>
      </c>
      <c r="C345" s="6"/>
      <c r="D345" s="6"/>
      <c r="E345" s="6"/>
      <c r="F345" s="7"/>
      <c r="G345" s="6"/>
      <c r="H345" s="6"/>
      <c r="I345" s="8">
        <f t="shared" si="5"/>
        <v>12</v>
      </c>
      <c r="J345" s="8" t="str">
        <f>IF(C345="","",IFERROR(CHOOSE(MATCH(C345,{"AC","AL","AM","AP","BA","CE","DF","ES","GO","MA","MT","MS","MG","PA","PB","PR","PE","PI","RN","RS","RO","RR","SC","SP","SE","TO"},0),19,20,20,18,20.5,20,20,17,19,23,17,17,18,19,20,19.5,20.5,22.5,20,17,19.5,20,17,18,20,20),"?"))</f>
        <v/>
      </c>
      <c r="K345" s="9"/>
    </row>
    <row r="346" spans="1:11" x14ac:dyDescent="0.25">
      <c r="A346" s="5" t="s">
        <v>677</v>
      </c>
      <c r="B346" s="5" t="s">
        <v>678</v>
      </c>
      <c r="C346" s="6"/>
      <c r="D346" s="6"/>
      <c r="E346" s="6"/>
      <c r="F346" s="7"/>
      <c r="G346" s="6"/>
      <c r="H346" s="6"/>
      <c r="I346" s="8">
        <f t="shared" si="5"/>
        <v>12</v>
      </c>
      <c r="J346" s="8" t="str">
        <f>IF(C346="","",IFERROR(CHOOSE(MATCH(C346,{"AC","AL","AM","AP","BA","CE","DF","ES","GO","MA","MT","MS","MG","PA","PB","PR","PE","PI","RN","RS","RO","RR","SC","SP","SE","TO"},0),19,20,20,18,20.5,20,20,17,19,23,17,17,18,19,20,19.5,20.5,22.5,20,17,19.5,20,17,18,20,20),"?"))</f>
        <v/>
      </c>
      <c r="K346" s="5"/>
    </row>
    <row r="347" spans="1:11" x14ac:dyDescent="0.25">
      <c r="A347" s="9" t="s">
        <v>679</v>
      </c>
      <c r="B347" s="9" t="s">
        <v>680</v>
      </c>
      <c r="C347" s="6"/>
      <c r="D347" s="6"/>
      <c r="E347" s="6"/>
      <c r="F347" s="7"/>
      <c r="G347" s="6"/>
      <c r="H347" s="6"/>
      <c r="I347" s="8">
        <f t="shared" si="5"/>
        <v>12</v>
      </c>
      <c r="J347" s="8" t="str">
        <f>IF(C347="","",IFERROR(CHOOSE(MATCH(C347,{"AC","AL","AM","AP","BA","CE","DF","ES","GO","MA","MT","MS","MG","PA","PB","PR","PE","PI","RN","RS","RO","RR","SC","SP","SE","TO"},0),19,20,20,18,20.5,20,20,17,19,23,17,17,18,19,20,19.5,20.5,22.5,20,17,19.5,20,17,18,20,20),"?"))</f>
        <v/>
      </c>
      <c r="K347" s="9"/>
    </row>
    <row r="348" spans="1:11" x14ac:dyDescent="0.25">
      <c r="A348" s="5" t="s">
        <v>681</v>
      </c>
      <c r="B348" s="5" t="s">
        <v>682</v>
      </c>
      <c r="C348" s="6"/>
      <c r="D348" s="6"/>
      <c r="E348" s="6"/>
      <c r="F348" s="7"/>
      <c r="G348" s="6"/>
      <c r="H348" s="6"/>
      <c r="I348" s="8">
        <f t="shared" si="5"/>
        <v>12</v>
      </c>
      <c r="J348" s="8" t="str">
        <f>IF(C348="","",IFERROR(CHOOSE(MATCH(C348,{"AC","AL","AM","AP","BA","CE","DF","ES","GO","MA","MT","MS","MG","PA","PB","PR","PE","PI","RN","RS","RO","RR","SC","SP","SE","TO"},0),19,20,20,18,20.5,20,20,17,19,23,17,17,18,19,20,19.5,20.5,22.5,20,17,19.5,20,17,18,20,20),"?"))</f>
        <v/>
      </c>
      <c r="K348" s="5"/>
    </row>
    <row r="349" spans="1:11" x14ac:dyDescent="0.25">
      <c r="A349" s="9" t="s">
        <v>683</v>
      </c>
      <c r="B349" s="9" t="s">
        <v>684</v>
      </c>
      <c r="C349" s="6"/>
      <c r="D349" s="6"/>
      <c r="E349" s="6"/>
      <c r="F349" s="7"/>
      <c r="G349" s="6"/>
      <c r="H349" s="6"/>
      <c r="I349" s="8">
        <f t="shared" si="5"/>
        <v>12</v>
      </c>
      <c r="J349" s="8" t="str">
        <f>IF(C349="","",IFERROR(CHOOSE(MATCH(C349,{"AC","AL","AM","AP","BA","CE","DF","ES","GO","MA","MT","MS","MG","PA","PB","PR","PE","PI","RN","RS","RO","RR","SC","SP","SE","TO"},0),19,20,20,18,20.5,20,20,17,19,23,17,17,18,19,20,19.5,20.5,22.5,20,17,19.5,20,17,18,20,20),"?"))</f>
        <v/>
      </c>
      <c r="K349" s="9"/>
    </row>
    <row r="350" spans="1:11" x14ac:dyDescent="0.25">
      <c r="A350" s="5" t="s">
        <v>685</v>
      </c>
      <c r="B350" s="5" t="s">
        <v>686</v>
      </c>
      <c r="C350" s="6"/>
      <c r="D350" s="6"/>
      <c r="E350" s="6"/>
      <c r="F350" s="7"/>
      <c r="G350" s="6"/>
      <c r="H350" s="6"/>
      <c r="I350" s="8">
        <f t="shared" si="5"/>
        <v>12</v>
      </c>
      <c r="J350" s="8" t="str">
        <f>IF(C350="","",IFERROR(CHOOSE(MATCH(C350,{"AC","AL","AM","AP","BA","CE","DF","ES","GO","MA","MT","MS","MG","PA","PB","PR","PE","PI","RN","RS","RO","RR","SC","SP","SE","TO"},0),19,20,20,18,20.5,20,20,17,19,23,17,17,18,19,20,19.5,20.5,22.5,20,17,19.5,20,17,18,20,20),"?"))</f>
        <v/>
      </c>
      <c r="K350" s="5"/>
    </row>
    <row r="351" spans="1:11" x14ac:dyDescent="0.25">
      <c r="A351" s="9" t="s">
        <v>687</v>
      </c>
      <c r="B351" s="9" t="s">
        <v>688</v>
      </c>
      <c r="C351" s="6"/>
      <c r="D351" s="6"/>
      <c r="E351" s="6"/>
      <c r="F351" s="7"/>
      <c r="G351" s="6"/>
      <c r="H351" s="6"/>
      <c r="I351" s="8">
        <f t="shared" si="5"/>
        <v>12</v>
      </c>
      <c r="J351" s="8" t="str">
        <f>IF(C351="","",IFERROR(CHOOSE(MATCH(C351,{"AC","AL","AM","AP","BA","CE","DF","ES","GO","MA","MT","MS","MG","PA","PB","PR","PE","PI","RN","RS","RO","RR","SC","SP","SE","TO"},0),19,20,20,18,20.5,20,20,17,19,23,17,17,18,19,20,19.5,20.5,22.5,20,17,19.5,20,17,18,20,20),"?"))</f>
        <v/>
      </c>
      <c r="K351" s="9"/>
    </row>
    <row r="352" spans="1:11" x14ac:dyDescent="0.25">
      <c r="A352" s="5" t="s">
        <v>689</v>
      </c>
      <c r="B352" s="5" t="s">
        <v>690</v>
      </c>
      <c r="C352" s="6"/>
      <c r="D352" s="6"/>
      <c r="E352" s="6"/>
      <c r="F352" s="7"/>
      <c r="G352" s="6"/>
      <c r="H352" s="6"/>
      <c r="I352" s="8">
        <f t="shared" si="5"/>
        <v>12</v>
      </c>
      <c r="J352" s="8" t="str">
        <f>IF(C352="","",IFERROR(CHOOSE(MATCH(C352,{"AC","AL","AM","AP","BA","CE","DF","ES","GO","MA","MT","MS","MG","PA","PB","PR","PE","PI","RN","RS","RO","RR","SC","SP","SE","TO"},0),19,20,20,18,20.5,20,20,17,19,23,17,17,18,19,20,19.5,20.5,22.5,20,17,19.5,20,17,18,20,20),"?"))</f>
        <v/>
      </c>
      <c r="K352" s="5"/>
    </row>
    <row r="353" spans="1:11" x14ac:dyDescent="0.25">
      <c r="A353" s="9" t="s">
        <v>691</v>
      </c>
      <c r="B353" s="9" t="s">
        <v>692</v>
      </c>
      <c r="C353" s="6"/>
      <c r="D353" s="6"/>
      <c r="E353" s="6"/>
      <c r="F353" s="7"/>
      <c r="G353" s="6"/>
      <c r="H353" s="6"/>
      <c r="I353" s="8">
        <f t="shared" si="5"/>
        <v>12</v>
      </c>
      <c r="J353" s="8" t="str">
        <f>IF(C353="","",IFERROR(CHOOSE(MATCH(C353,{"AC","AL","AM","AP","BA","CE","DF","ES","GO","MA","MT","MS","MG","PA","PB","PR","PE","PI","RN","RS","RO","RR","SC","SP","SE","TO"},0),19,20,20,18,20.5,20,20,17,19,23,17,17,18,19,20,19.5,20.5,22.5,20,17,19.5,20,17,18,20,20),"?"))</f>
        <v/>
      </c>
      <c r="K353" s="9"/>
    </row>
    <row r="354" spans="1:11" x14ac:dyDescent="0.25">
      <c r="A354" s="5" t="s">
        <v>693</v>
      </c>
      <c r="B354" s="5" t="s">
        <v>694</v>
      </c>
      <c r="C354" s="6"/>
      <c r="D354" s="6"/>
      <c r="E354" s="6"/>
      <c r="F354" s="7"/>
      <c r="G354" s="6"/>
      <c r="H354" s="6"/>
      <c r="I354" s="8">
        <f t="shared" si="5"/>
        <v>12</v>
      </c>
      <c r="J354" s="8" t="str">
        <f>IF(C354="","",IFERROR(CHOOSE(MATCH(C354,{"AC","AL","AM","AP","BA","CE","DF","ES","GO","MA","MT","MS","MG","PA","PB","PR","PE","PI","RN","RS","RO","RR","SC","SP","SE","TO"},0),19,20,20,18,20.5,20,20,17,19,23,17,17,18,19,20,19.5,20.5,22.5,20,17,19.5,20,17,18,20,20),"?"))</f>
        <v/>
      </c>
      <c r="K354" s="5"/>
    </row>
    <row r="355" spans="1:11" x14ac:dyDescent="0.25">
      <c r="A355" s="9" t="s">
        <v>695</v>
      </c>
      <c r="B355" s="9" t="s">
        <v>696</v>
      </c>
      <c r="C355" s="6"/>
      <c r="D355" s="6"/>
      <c r="E355" s="6"/>
      <c r="F355" s="7"/>
      <c r="G355" s="6"/>
      <c r="H355" s="6"/>
      <c r="I355" s="8">
        <f t="shared" si="5"/>
        <v>12</v>
      </c>
      <c r="J355" s="8" t="str">
        <f>IF(C355="","",IFERROR(CHOOSE(MATCH(C355,{"AC","AL","AM","AP","BA","CE","DF","ES","GO","MA","MT","MS","MG","PA","PB","PR","PE","PI","RN","RS","RO","RR","SC","SP","SE","TO"},0),19,20,20,18,20.5,20,20,17,19,23,17,17,18,19,20,19.5,20.5,22.5,20,17,19.5,20,17,18,20,20),"?"))</f>
        <v/>
      </c>
      <c r="K355" s="9"/>
    </row>
    <row r="356" spans="1:11" x14ac:dyDescent="0.25">
      <c r="A356" s="5" t="s">
        <v>697</v>
      </c>
      <c r="B356" s="5" t="s">
        <v>698</v>
      </c>
      <c r="C356" s="6"/>
      <c r="D356" s="6"/>
      <c r="E356" s="6"/>
      <c r="F356" s="7"/>
      <c r="G356" s="6"/>
      <c r="H356" s="6"/>
      <c r="I356" s="8">
        <f t="shared" si="5"/>
        <v>12</v>
      </c>
      <c r="J356" s="8" t="str">
        <f>IF(C356="","",IFERROR(CHOOSE(MATCH(C356,{"AC","AL","AM","AP","BA","CE","DF","ES","GO","MA","MT","MS","MG","PA","PB","PR","PE","PI","RN","RS","RO","RR","SC","SP","SE","TO"},0),19,20,20,18,20.5,20,20,17,19,23,17,17,18,19,20,19.5,20.5,22.5,20,17,19.5,20,17,18,20,20),"?"))</f>
        <v/>
      </c>
      <c r="K356" s="5"/>
    </row>
    <row r="357" spans="1:11" x14ac:dyDescent="0.25">
      <c r="A357" s="9" t="s">
        <v>699</v>
      </c>
      <c r="B357" s="9" t="s">
        <v>700</v>
      </c>
      <c r="C357" s="6"/>
      <c r="D357" s="6"/>
      <c r="E357" s="6"/>
      <c r="F357" s="7"/>
      <c r="G357" s="6"/>
      <c r="H357" s="6"/>
      <c r="I357" s="8">
        <f t="shared" si="5"/>
        <v>12</v>
      </c>
      <c r="J357" s="8" t="str">
        <f>IF(C357="","",IFERROR(CHOOSE(MATCH(C357,{"AC","AL","AM","AP","BA","CE","DF","ES","GO","MA","MT","MS","MG","PA","PB","PR","PE","PI","RN","RS","RO","RR","SC","SP","SE","TO"},0),19,20,20,18,20.5,20,20,17,19,23,17,17,18,19,20,19.5,20.5,22.5,20,17,19.5,20,17,18,20,20),"?"))</f>
        <v/>
      </c>
      <c r="K357" s="9"/>
    </row>
    <row r="358" spans="1:11" x14ac:dyDescent="0.25">
      <c r="A358" s="5" t="s">
        <v>701</v>
      </c>
      <c r="B358" s="5" t="s">
        <v>702</v>
      </c>
      <c r="C358" s="6"/>
      <c r="D358" s="6"/>
      <c r="E358" s="6"/>
      <c r="F358" s="7"/>
      <c r="G358" s="6"/>
      <c r="H358" s="6"/>
      <c r="I358" s="8">
        <f t="shared" si="5"/>
        <v>12</v>
      </c>
      <c r="J358" s="8" t="str">
        <f>IF(C358="","",IFERROR(CHOOSE(MATCH(C358,{"AC","AL","AM","AP","BA","CE","DF","ES","GO","MA","MT","MS","MG","PA","PB","PR","PE","PI","RN","RS","RO","RR","SC","SP","SE","TO"},0),19,20,20,18,20.5,20,20,17,19,23,17,17,18,19,20,19.5,20.5,22.5,20,17,19.5,20,17,18,20,20),"?"))</f>
        <v/>
      </c>
      <c r="K358" s="5"/>
    </row>
    <row r="359" spans="1:11" x14ac:dyDescent="0.25">
      <c r="A359" s="9" t="s">
        <v>703</v>
      </c>
      <c r="B359" s="9" t="s">
        <v>704</v>
      </c>
      <c r="C359" s="6"/>
      <c r="D359" s="6"/>
      <c r="E359" s="6"/>
      <c r="F359" s="7"/>
      <c r="G359" s="6"/>
      <c r="H359" s="6"/>
      <c r="I359" s="8">
        <f t="shared" si="5"/>
        <v>12</v>
      </c>
      <c r="J359" s="8" t="str">
        <f>IF(C359="","",IFERROR(CHOOSE(MATCH(C359,{"AC","AL","AM","AP","BA","CE","DF","ES","GO","MA","MT","MS","MG","PA","PB","PR","PE","PI","RN","RS","RO","RR","SC","SP","SE","TO"},0),19,20,20,18,20.5,20,20,17,19,23,17,17,18,19,20,19.5,20.5,22.5,20,17,19.5,20,17,18,20,20),"?"))</f>
        <v/>
      </c>
      <c r="K359" s="9"/>
    </row>
    <row r="360" spans="1:11" x14ac:dyDescent="0.25">
      <c r="A360" s="5" t="s">
        <v>705</v>
      </c>
      <c r="B360" s="5" t="s">
        <v>706</v>
      </c>
      <c r="C360" s="6"/>
      <c r="D360" s="6"/>
      <c r="E360" s="6"/>
      <c r="F360" s="7"/>
      <c r="G360" s="6"/>
      <c r="H360" s="6"/>
      <c r="I360" s="8">
        <f t="shared" si="5"/>
        <v>12</v>
      </c>
      <c r="J360" s="8" t="str">
        <f>IF(C360="","",IFERROR(CHOOSE(MATCH(C360,{"AC","AL","AM","AP","BA","CE","DF","ES","GO","MA","MT","MS","MG","PA","PB","PR","PE","PI","RN","RS","RO","RR","SC","SP","SE","TO"},0),19,20,20,18,20.5,20,20,17,19,23,17,17,18,19,20,19.5,20.5,22.5,20,17,19.5,20,17,18,20,20),"?"))</f>
        <v/>
      </c>
      <c r="K360" s="5"/>
    </row>
    <row r="361" spans="1:11" x14ac:dyDescent="0.25">
      <c r="A361" s="9" t="s">
        <v>707</v>
      </c>
      <c r="B361" s="9" t="s">
        <v>360</v>
      </c>
      <c r="C361" s="6"/>
      <c r="D361" s="6"/>
      <c r="E361" s="6"/>
      <c r="F361" s="7"/>
      <c r="G361" s="6"/>
      <c r="H361" s="6"/>
      <c r="I361" s="8">
        <f t="shared" si="5"/>
        <v>12</v>
      </c>
      <c r="J361" s="8" t="str">
        <f>IF(C361="","",IFERROR(CHOOSE(MATCH(C361,{"AC","AL","AM","AP","BA","CE","DF","ES","GO","MA","MT","MS","MG","PA","PB","PR","PE","PI","RN","RS","RO","RR","SC","SP","SE","TO"},0),19,20,20,18,20.5,20,20,17,19,23,17,17,18,19,20,19.5,20.5,22.5,20,17,19.5,20,17,18,20,20),"?"))</f>
        <v/>
      </c>
      <c r="K361" s="9"/>
    </row>
    <row r="362" spans="1:11" x14ac:dyDescent="0.25">
      <c r="A362" s="5" t="s">
        <v>708</v>
      </c>
      <c r="B362" s="5" t="s">
        <v>709</v>
      </c>
      <c r="C362" s="6"/>
      <c r="D362" s="6"/>
      <c r="E362" s="6"/>
      <c r="F362" s="7"/>
      <c r="G362" s="6"/>
      <c r="H362" s="6"/>
      <c r="I362" s="8">
        <f t="shared" si="5"/>
        <v>12</v>
      </c>
      <c r="J362" s="8" t="str">
        <f>IF(C362="","",IFERROR(CHOOSE(MATCH(C362,{"AC","AL","AM","AP","BA","CE","DF","ES","GO","MA","MT","MS","MG","PA","PB","PR","PE","PI","RN","RS","RO","RR","SC","SP","SE","TO"},0),19,20,20,18,20.5,20,20,17,19,23,17,17,18,19,20,19.5,20.5,22.5,20,17,19.5,20,17,18,20,20),"?"))</f>
        <v/>
      </c>
      <c r="K362" s="5"/>
    </row>
    <row r="363" spans="1:11" x14ac:dyDescent="0.25">
      <c r="A363" s="9" t="s">
        <v>710</v>
      </c>
      <c r="B363" s="9" t="s">
        <v>711</v>
      </c>
      <c r="C363" s="6"/>
      <c r="D363" s="6"/>
      <c r="E363" s="6"/>
      <c r="F363" s="7"/>
      <c r="G363" s="6"/>
      <c r="H363" s="6"/>
      <c r="I363" s="8">
        <f t="shared" si="5"/>
        <v>12</v>
      </c>
      <c r="J363" s="8" t="str">
        <f>IF(C363="","",IFERROR(CHOOSE(MATCH(C363,{"AC","AL","AM","AP","BA","CE","DF","ES","GO","MA","MT","MS","MG","PA","PB","PR","PE","PI","RN","RS","RO","RR","SC","SP","SE","TO"},0),19,20,20,18,20.5,20,20,17,19,23,17,17,18,19,20,19.5,20.5,22.5,20,17,19.5,20,17,18,20,20),"?"))</f>
        <v/>
      </c>
      <c r="K363" s="9"/>
    </row>
    <row r="364" spans="1:11" x14ac:dyDescent="0.25">
      <c r="A364" s="5" t="s">
        <v>712</v>
      </c>
      <c r="B364" s="5" t="s">
        <v>713</v>
      </c>
      <c r="C364" s="6"/>
      <c r="D364" s="6"/>
      <c r="E364" s="6"/>
      <c r="F364" s="7"/>
      <c r="G364" s="6"/>
      <c r="H364" s="6"/>
      <c r="I364" s="8">
        <f t="shared" si="5"/>
        <v>12</v>
      </c>
      <c r="J364" s="8" t="str">
        <f>IF(C364="","",IFERROR(CHOOSE(MATCH(C364,{"AC","AL","AM","AP","BA","CE","DF","ES","GO","MA","MT","MS","MG","PA","PB","PR","PE","PI","RN","RS","RO","RR","SC","SP","SE","TO"},0),19,20,20,18,20.5,20,20,17,19,23,17,17,18,19,20,19.5,20.5,22.5,20,17,19.5,20,17,18,20,20),"?"))</f>
        <v/>
      </c>
      <c r="K364" s="5"/>
    </row>
    <row r="365" spans="1:11" x14ac:dyDescent="0.25">
      <c r="A365" s="9" t="s">
        <v>714</v>
      </c>
      <c r="B365" s="9" t="s">
        <v>715</v>
      </c>
      <c r="C365" s="6"/>
      <c r="D365" s="6"/>
      <c r="E365" s="6"/>
      <c r="F365" s="7"/>
      <c r="G365" s="6"/>
      <c r="H365" s="6"/>
      <c r="I365" s="8">
        <f t="shared" si="5"/>
        <v>12</v>
      </c>
      <c r="J365" s="8" t="str">
        <f>IF(C365="","",IFERROR(CHOOSE(MATCH(C365,{"AC","AL","AM","AP","BA","CE","DF","ES","GO","MA","MT","MS","MG","PA","PB","PR","PE","PI","RN","RS","RO","RR","SC","SP","SE","TO"},0),19,20,20,18,20.5,20,20,17,19,23,17,17,18,19,20,19.5,20.5,22.5,20,17,19.5,20,17,18,20,20),"?"))</f>
        <v/>
      </c>
      <c r="K365" s="9"/>
    </row>
  </sheetData>
  <autoFilter ref="A3:K3" xr:uid="{00000000-0009-0000-0000-000000000000}"/>
  <mergeCells count="2">
    <mergeCell ref="A2:K2"/>
    <mergeCell ref="A1:K1"/>
  </mergeCells>
  <dataValidations count="2">
    <dataValidation type="list" allowBlank="1" sqref="C4:C5000" xr:uid="{00000000-0002-0000-0000-000000000000}">
      <formula1>$Z$4:$Z$29</formula1>
    </dataValidation>
    <dataValidation type="list" allowBlank="1" sqref="D4:G5000" xr:uid="{00000000-0002-0000-0000-000001000000}">
      <formula1>$AA$4:$AA$5</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MATRIZ_SAIDA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Suporte | Platinum TI</cp:lastModifiedBy>
  <dcterms:created xsi:type="dcterms:W3CDTF">2026-03-30T18:05:53Z</dcterms:created>
  <dcterms:modified xsi:type="dcterms:W3CDTF">2026-03-30T18:19:08Z</dcterms:modified>
</cp:coreProperties>
</file>