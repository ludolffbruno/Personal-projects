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uno Ludolff\Downloads\"/>
    </mc:Choice>
  </mc:AlternateContent>
  <xr:revisionPtr revIDLastSave="0" documentId="13_ncr:1_{3C8DBF69-4584-4EE1-8865-BDACBEC72C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FOP 6403" sheetId="1" r:id="rId1"/>
    <sheet name="CFOP 6108" sheetId="4" r:id="rId2"/>
    <sheet name="Base_6403" sheetId="2" r:id="rId3"/>
    <sheet name="Base_6108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B12" i="1"/>
  <c r="B11" i="1"/>
  <c r="B15" i="4"/>
  <c r="B13" i="4"/>
  <c r="B11" i="4"/>
  <c r="B12" i="4" s="1"/>
  <c r="B14" i="4" s="1"/>
  <c r="H4" i="2"/>
  <c r="H3" i="2"/>
  <c r="H2" i="2"/>
  <c r="B13" i="1"/>
  <c r="B14" i="1" l="1"/>
  <c r="B15" i="1" s="1"/>
  <c r="B17" i="1" s="1"/>
  <c r="B18" i="4"/>
  <c r="B16" i="4"/>
</calcChain>
</file>

<file path=xl/sharedStrings.xml><?xml version="1.0" encoding="utf-8"?>
<sst xmlns="http://schemas.openxmlformats.org/spreadsheetml/2006/main" count="153" uniqueCount="96">
  <si>
    <t>PLATINUM TI</t>
  </si>
  <si>
    <t>CALCULADORA ICMS DIFAL - CFOP 6403 (CONTRIBUINTE)</t>
  </si>
  <si>
    <t xml:space="preserve"> CONFIGURAÇÕES DE ENTRADA</t>
  </si>
  <si>
    <t xml:space="preserve"> 1. ESTADO DE DESTINO</t>
  </si>
  <si>
    <t>ES</t>
  </si>
  <si>
    <t xml:space="preserve"> 2. ALÍQUOTA INTERESTADUAL (%)</t>
  </si>
  <si>
    <t xml:space="preserve"> 3. VALOR DO PRODUTO (R$)</t>
  </si>
  <si>
    <t xml:space="preserve"> RESULTADOS PARA NOTA FISCAL</t>
  </si>
  <si>
    <t xml:space="preserve"> Alíquota Interna Aplicada</t>
  </si>
  <si>
    <t xml:space="preserve"> Fator de Cálculo</t>
  </si>
  <si>
    <t xml:space="preserve"> Vr. ICMS Interestadual</t>
  </si>
  <si>
    <t xml:space="preserve"> BC ICMS ST (Base Dupla)</t>
  </si>
  <si>
    <t xml:space="preserve"> ICMS ST / DIFAL</t>
  </si>
  <si>
    <t xml:space="preserve"> VALOR TOTAL DA NOTA FISCAL</t>
  </si>
  <si>
    <t>UF</t>
  </si>
  <si>
    <t>Aliq Interna</t>
  </si>
  <si>
    <t>Fator</t>
  </si>
  <si>
    <t>Opções</t>
  </si>
  <si>
    <t>Filtro 6403</t>
  </si>
  <si>
    <t>AC</t>
  </si>
  <si>
    <t>4,7</t>
  </si>
  <si>
    <t>AL</t>
  </si>
  <si>
    <t>4,7,12</t>
  </si>
  <si>
    <t>AM</t>
  </si>
  <si>
    <t>AP</t>
  </si>
  <si>
    <t>BA</t>
  </si>
  <si>
    <t>CE</t>
  </si>
  <si>
    <t>DF</t>
  </si>
  <si>
    <t>GO</t>
  </si>
  <si>
    <t>MA</t>
  </si>
  <si>
    <t>MG</t>
  </si>
  <si>
    <t>4,12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</si>
  <si>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</si>
  <si>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</si>
  <si>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</si>
  <si>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</si>
  <si>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</si>
  <si>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</si>
  <si>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</si>
  <si>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</si>
  <si>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</si>
  <si>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</si>
  <si>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</si>
  <si>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</si>
  <si>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</si>
  <si>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</si>
  <si>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</si>
  <si>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</si>
  <si>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ESTADO</t>
  </si>
  <si>
    <t>Índice</t>
  </si>
  <si>
    <t>Aliq Inter Padrão</t>
  </si>
  <si>
    <t>Aliq Interna Destino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</si>
  <si>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</si>
  <si>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</si>
  <si>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</si>
  <si>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</si>
  <si>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</si>
  <si>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</si>
  <si>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</si>
  <si>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</si>
  <si>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GOIAS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</si>
  <si>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</si>
  <si>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</si>
  <si>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</si>
  <si>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</si>
  <si>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</si>
  <si>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</si>
  <si>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</si>
  <si>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</si>
  <si>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</si>
  <si>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</si>
  <si>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</si>
  <si>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</si>
  <si>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</si>
  <si>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</si>
  <si>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</si>
  <si>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</si>
  <si>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</si>
  <si>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CALCULADORA ICMS DIFAL - CFOP 6108 (NÃO CONTRIBUINTE)</t>
  </si>
  <si>
    <t xml:space="preserve"> 2. ORIGEM DA MERCADORIA</t>
  </si>
  <si>
    <t>Nacional</t>
  </si>
  <si>
    <t xml:space="preserve"> 3. VALOR SIMPLES PRODUTO (R$)</t>
  </si>
  <si>
    <t xml:space="preserve"> Índice ICMS de Destino (Valor)</t>
  </si>
  <si>
    <t xml:space="preserve"> Novo Valor do Produto (Base de Cálculo)</t>
  </si>
  <si>
    <t xml:space="preserve"> % ICMS Interestadual</t>
  </si>
  <si>
    <t xml:space="preserve"> Valor ICMS Interestadual</t>
  </si>
  <si>
    <t xml:space="preserve"> % ICMS Destino</t>
  </si>
  <si>
    <t xml:space="preserve"> Difal no Rodapé da NFe</t>
  </si>
  <si>
    <t xml:space="preserve"> VALOR TOTAL ATUALIZADO</t>
  </si>
  <si>
    <t>Filtro 6403</t>
  </si>
  <si>
    <t>Divisor 12%</t>
  </si>
  <si>
    <t>Divisor 7%</t>
  </si>
  <si>
    <t>Divisor 4%</t>
  </si>
  <si>
    <t>CÁLCULO REVERSO</t>
  </si>
  <si>
    <t>VALOR TOTAL ATUALIZADO (R$)</t>
  </si>
  <si>
    <t>3. VALOR SIMPLES PRODUTO 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</si>
</sst>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2F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D9D9D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4" borderId="10" xfId="0" applyFill="1" applyBorder="1"/>
    <xf numFmtId="164" fontId="0" fillId="4" borderId="4" xfId="0" applyNumberFormat="1" applyFill="1" applyBorder="1" applyAlignment="1">
      <alignment horizontal="center"/>
    </xf>
    <xf numFmtId="0" fontId="0" fillId="4" borderId="8" xfId="0" applyFill="1" applyBorder="1"/>
    <xf numFmtId="4" fontId="0" fillId="4" borderId="4" xfId="0" applyNumberFormat="1" applyFill="1" applyBorder="1" applyAlignment="1">
      <alignment horizontal="center"/>
    </xf>
    <xf numFmtId="0" fontId="0" fillId="4" borderId="3" xfId="0" applyFill="1" applyBorder="1"/>
    <xf numFmtId="0" fontId="3" fillId="3" borderId="1" xfId="0" applyFont="1" applyFill="1" applyBorder="1"/>
    <xf numFmtId="4" fontId="3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/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0" fontId="0" fillId="4" borderId="6" xfId="0" applyFill="1" applyBorder="1"/>
    <xf numFmtId="165" fontId="0" fillId="4" borderId="4" xfId="0" applyNumberFormat="1" applyFill="1" applyBorder="1" applyAlignment="1">
      <alignment horizontal="center"/>
    </xf>
    <xf numFmtId="4" fontId="0" fillId="4" borderId="5" xfId="0" applyNumberFormat="1" applyFill="1" applyBorder="1" applyAlignment="1">
      <alignment horizontal="center"/>
    </xf>
    <xf numFmtId="9" fontId="0" fillId="4" borderId="4" xfId="0" applyNumberFormat="1" applyFill="1" applyBorder="1" applyAlignment="1">
      <alignment horizontal="center"/>
    </xf>
    <xf numFmtId="0" fontId="0" fillId="4" borderId="7" xfId="0" applyFill="1" applyBorder="1"/>
    <xf numFmtId="0" fontId="3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/>
    <xf numFmtId="0" fontId="0" fillId="0" borderId="2" xfId="0" applyBorder="1"/>
    <xf numFmtId="0" fontId="0" fillId="0" borderId="9" xfId="0" applyBorder="1"/>
    <xf numFmtId="0" fontId="5" fillId="0" borderId="0" xfId="0" applyFont="1"/>
    <xf numFmtId="0" fontId="5" fillId="6" borderId="0" xfId="0" applyFont="1" applyFill="1"/>
    <xf numFmtId="0" fontId="4" fillId="0" borderId="0" xfId="0" applyFont="1"/>
    <xf numFmtId="4" fontId="7" fillId="0" borderId="0" xfId="0" applyNumberFormat="1" applyFont="1"/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selection activeCell="I8" sqref="I8"/>
    </sheetView>
  </sheetViews>
  <sheetFormatPr defaultRowHeight="15" x14ac:dyDescent="0.25"/>
  <cols>
    <col min="1" max="1" width="40" customWidth="1"/>
    <col min="2" max="2" width="25" customWidth="1"/>
    <col min="3" max="3" width="18.28515625" customWidth="1"/>
    <col min="5" max="5" width="30.85546875" bestFit="1" customWidth="1"/>
  </cols>
  <sheetData>
    <row r="1" spans="1:6" x14ac:dyDescent="0.25">
      <c r="A1" s="18" t="s">
        <v>0</v>
      </c>
      <c r="B1" s="17"/>
      <c r="C1" s="17"/>
    </row>
    <row r="2" spans="1:6" x14ac:dyDescent="0.25">
      <c r="A2" s="17"/>
      <c r="B2" s="17"/>
      <c r="C2" s="17"/>
    </row>
    <row r="3" spans="1:6" x14ac:dyDescent="0.25">
      <c r="A3" s="19" t="s">
        <v>1</v>
      </c>
      <c r="B3" s="17"/>
      <c r="C3" s="17"/>
    </row>
    <row r="5" spans="1:6" x14ac:dyDescent="0.25">
      <c r="A5" s="16" t="s">
        <v>2</v>
      </c>
      <c r="B5" s="17"/>
      <c r="C5" s="17"/>
      <c r="E5" s="27" t="s">
        <v>93</v>
      </c>
      <c r="F5" s="27"/>
    </row>
    <row r="6" spans="1:6" x14ac:dyDescent="0.25">
      <c r="A6" s="8" t="s">
        <v>3</v>
      </c>
      <c r="B6" s="9" t="s">
        <v>44</v>
      </c>
      <c r="E6" s="23" t="s">
        <v>94</v>
      </c>
      <c r="F6" s="24">
        <v>1060.24</v>
      </c>
    </row>
    <row r="7" spans="1:6" x14ac:dyDescent="0.25">
      <c r="A7" s="8" t="s">
        <v>5</v>
      </c>
      <c r="B7" s="9">
        <v>12</v>
      </c>
    </row>
    <row r="8" spans="1:6" x14ac:dyDescent="0.25">
      <c r="A8" s="8" t="s">
        <v>6</v>
      </c>
      <c r="B8" s="10">
        <v>1000</v>
      </c>
      <c r="E8" s="25" t="s">
        <v>95</v>
      </c>
      <c r="F8" s="26">
        <f>F6 / VLOOKUP(B6, Base_6403!A:M, IF(B7=12, 11, IF(B7=7, 12, 13)), 0) * 100</f>
        <v>1000.0377287304282</v>
      </c>
    </row>
    <row r="10" spans="1:6" x14ac:dyDescent="0.25">
      <c r="A10" s="20" t="s">
        <v>7</v>
      </c>
      <c r="B10" s="21"/>
      <c r="C10" s="22"/>
    </row>
    <row r="11" spans="1:6" x14ac:dyDescent="0.25">
      <c r="A11" s="1" t="s">
        <v>8</v>
      </c>
      <c r="B11" s="2">
        <f>VLOOKUP(B6, Base_6403!A:D, 2, FALSE)</f>
        <v>0.17</v>
      </c>
    </row>
    <row r="12" spans="1:6" x14ac:dyDescent="0.25">
      <c r="A12" s="3" t="s">
        <v>9</v>
      </c>
      <c r="B12" s="4">
        <f>VLOOKUP(B6, Base_6403!A:D, 3, FALSE)</f>
        <v>0.83</v>
      </c>
    </row>
    <row r="13" spans="1:6" x14ac:dyDescent="0.25">
      <c r="A13" s="3" t="s">
        <v>10</v>
      </c>
      <c r="B13" s="4">
        <f>B8 * (B7/100)</f>
        <v>120</v>
      </c>
    </row>
    <row r="14" spans="1:6" x14ac:dyDescent="0.25">
      <c r="A14" s="5" t="s">
        <v>11</v>
      </c>
      <c r="B14" s="4">
        <f>(B8 - B13) / B12</f>
        <v>1060.2409638554218</v>
      </c>
    </row>
    <row r="15" spans="1:6" x14ac:dyDescent="0.25">
      <c r="A15" s="5" t="s">
        <v>12</v>
      </c>
      <c r="B15" s="4">
        <f>(B14 * B11) - B13</f>
        <v>60.240963855421711</v>
      </c>
    </row>
    <row r="17" spans="1:2" x14ac:dyDescent="0.25">
      <c r="A17" s="6" t="s">
        <v>13</v>
      </c>
      <c r="B17" s="7">
        <f>B8 + B15</f>
        <v>1060.2409638554218</v>
      </c>
    </row>
  </sheetData>
  <protectedRanges>
    <protectedRange algorithmName="SHA-512" hashValue="lDfAeWVtp7ZOpZ5qL8caBlv/TUCxh5II5+EOaQ+g8qVDuwFg80a5rfGJk+xNXsEsW7nIUVs8Ufu6Az5DSDSt5A==" saltValue="aXD5DPHRcUOkisUryThnrQ==" spinCount="100000" sqref="A11:B17" name="Intervalo1" securityDescriptor="O:WDG:WDD:(A;;CC;;;S-1-5-21-596203301-1552961756-583250058-1001)"/>
  </protectedRanges>
  <mergeCells count="5">
    <mergeCell ref="A5:C5"/>
    <mergeCell ref="A1:C2"/>
    <mergeCell ref="A3:C3"/>
    <mergeCell ref="A10:C10"/>
    <mergeCell ref="E5:F5"/>
  </mergeCell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Base_6403!$A$2:$A$28</xm:f>
          </x14:formula1>
          <xm:sqref>B6</xm:sqref>
        </x14:dataValidation>
        <x14:dataValidation type="list" allowBlank="1" xr:uid="{00000000-0002-0000-0000-000001000000}">
          <x14:formula1>
            <xm:f>Base_6403!$H$2:$H$4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showGridLines="0" workbookViewId="0">
      <selection activeCell="A29" sqref="A29"/>
    </sheetView>
  </sheetViews>
  <sheetFormatPr defaultRowHeight="15" x14ac:dyDescent="0.25"/>
  <cols>
    <col min="1" max="1" width="40" customWidth="1"/>
    <col min="2" max="2" width="25" customWidth="1"/>
    <col min="3" max="3" width="50" customWidth="1"/>
  </cols>
  <sheetData>
    <row r="1" spans="1:3" x14ac:dyDescent="0.25">
      <c r="A1" s="18" t="s">
        <v>0</v>
      </c>
      <c r="B1" s="17"/>
      <c r="C1" s="17"/>
    </row>
    <row r="2" spans="1:3" x14ac:dyDescent="0.25">
      <c r="A2" s="17"/>
      <c r="B2" s="17"/>
      <c r="C2" s="17"/>
    </row>
    <row r="3" spans="1:3" x14ac:dyDescent="0.25">
      <c r="A3" s="19" t="s">
        <v>78</v>
      </c>
      <c r="B3" s="17"/>
      <c r="C3" s="17"/>
    </row>
    <row r="5" spans="1:3" x14ac:dyDescent="0.25">
      <c r="A5" s="16" t="s">
        <v>2</v>
      </c>
      <c r="B5" s="17"/>
      <c r="C5" s="17"/>
    </row>
    <row r="6" spans="1:3" x14ac:dyDescent="0.25">
      <c r="A6" s="8" t="s">
        <v>3</v>
      </c>
      <c r="B6" s="9" t="s">
        <v>46</v>
      </c>
    </row>
    <row r="7" spans="1:3" x14ac:dyDescent="0.25">
      <c r="A7" s="8" t="s">
        <v>79</v>
      </c>
      <c r="B7" s="9" t="s">
        <v>80</v>
      </c>
    </row>
    <row r="8" spans="1:3" x14ac:dyDescent="0.25">
      <c r="A8" s="8" t="s">
        <v>81</v>
      </c>
      <c r="B8" s="10">
        <v>1000</v>
      </c>
    </row>
    <row r="10" spans="1:3" x14ac:dyDescent="0.25">
      <c r="A10" s="20" t="s">
        <v>7</v>
      </c>
      <c r="B10" s="21"/>
      <c r="C10" s="21"/>
    </row>
    <row r="11" spans="1:3" x14ac:dyDescent="0.25">
      <c r="A11" s="11" t="s">
        <v>82</v>
      </c>
      <c r="B11" s="12">
        <f>VLOOKUP(B6, Base_6108!A:E, 3, FALSE)</f>
        <v>0.82</v>
      </c>
    </row>
    <row r="12" spans="1:3" x14ac:dyDescent="0.25">
      <c r="A12" s="11" t="s">
        <v>83</v>
      </c>
      <c r="B12" s="13">
        <f>B8 / B11</f>
        <v>1219.5121951219512</v>
      </c>
    </row>
    <row r="13" spans="1:3" x14ac:dyDescent="0.25">
      <c r="A13" s="5" t="s">
        <v>84</v>
      </c>
      <c r="B13" s="14">
        <f>IF(B7="Importado", 0.04, VLOOKUP(B6, Base_6108!A:E, 4, FALSE))</f>
        <v>0.12</v>
      </c>
    </row>
    <row r="14" spans="1:3" x14ac:dyDescent="0.25">
      <c r="A14" s="15" t="s">
        <v>85</v>
      </c>
      <c r="B14" s="13">
        <f>B12 * B13</f>
        <v>146.34146341463415</v>
      </c>
    </row>
    <row r="15" spans="1:3" x14ac:dyDescent="0.25">
      <c r="A15" s="5" t="s">
        <v>86</v>
      </c>
      <c r="B15" s="2">
        <f>VLOOKUP(B6, Base_6108!A:E, 5, FALSE)</f>
        <v>0.18</v>
      </c>
    </row>
    <row r="16" spans="1:3" x14ac:dyDescent="0.25">
      <c r="A16" s="5" t="s">
        <v>87</v>
      </c>
      <c r="B16" s="4">
        <f>(B12 * B15) - B14</f>
        <v>73.17073170731706</v>
      </c>
    </row>
    <row r="18" spans="1:2" x14ac:dyDescent="0.25">
      <c r="A18" s="6" t="s">
        <v>88</v>
      </c>
      <c r="B18" s="7">
        <f>B12</f>
        <v>1219.5121951219512</v>
      </c>
    </row>
  </sheetData>
  <sheetProtection algorithmName="SHA-512" hashValue="8lLt1tLz/Zn/aFx5ggXpKzVRqjuB3Gej7+ETSct8HWwsWuXB10wCjnuPkpgl1248LTpP/9jzJP5cK2sr50hPfg==" saltValue="CwU0dJCg4irs2irmAXoRFA==" spinCount="100000" sheet="1" objects="1" scenarios="1"/>
  <protectedRanges>
    <protectedRange algorithmName="SHA-512" hashValue="dvDeU7zsjBW9Du0TuzAbtwG7FHJx3JvTyHw3C+QlG5O0Et4tOaI/3FXacVnReNap1K4I3xie1OWMiML60PwrLg==" saltValue="lLuq6Suk4wCLyDIfktJ/1A==" spinCount="100000" sqref="A11:B18" name="Intervalo1" securityDescriptor="O:WDG:WDD:(A;;CC;;;S-1-5-21-596203301-1552961756-583250058-1001)"/>
  </protectedRanges>
  <mergeCells count="4">
    <mergeCell ref="A5:C5"/>
    <mergeCell ref="A1:C2"/>
    <mergeCell ref="A3:C3"/>
    <mergeCell ref="A10:C10"/>
  </mergeCells>
  <dataValidations count="1">
    <dataValidation type="list" allowBlank="1" sqref="B7" xr:uid="{00000000-0002-0000-0300-000001000000}">
      <formula1>"Nacional,Importado"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Base_6108!$A$2:$A$27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selection activeCell="J1" sqref="J1:M28"/>
    </sheetView>
  </sheetViews>
  <sheetFormatPr defaultRowHeight="15" x14ac:dyDescent="0.25"/>
  <cols>
    <col min="10" max="10" width="10.140625" bestFit="1" customWidth="1"/>
    <col min="11" max="11" width="11.140625" bestFit="1" customWidth="1"/>
    <col min="12" max="13" width="10.140625" bestFit="1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H1" t="s">
        <v>18</v>
      </c>
      <c r="J1" s="23" t="s">
        <v>89</v>
      </c>
      <c r="K1" s="23" t="s">
        <v>90</v>
      </c>
      <c r="L1" s="23" t="s">
        <v>91</v>
      </c>
      <c r="M1" s="23" t="s">
        <v>92</v>
      </c>
    </row>
    <row r="2" spans="1:13" x14ac:dyDescent="0.25">
      <c r="A2" t="s">
        <v>19</v>
      </c>
      <c r="B2">
        <v>0.19</v>
      </c>
      <c r="C2">
        <v>0.81</v>
      </c>
      <c r="D2" t="s">
        <v>20</v>
      </c>
      <c r="E2">
        <v>4</v>
      </c>
      <c r="F2">
        <v>7</v>
      </c>
      <c r="H2">
        <f>INDEX(Base_6403!E2:G28, MATCH('CFOP 6403'!B6, Base_6403!A2:A28, 0), 1)</f>
        <v>4</v>
      </c>
      <c r="J2" s="23">
        <v>4</v>
      </c>
      <c r="K2" s="23">
        <v>108.64</v>
      </c>
      <c r="L2" s="23">
        <v>114.81</v>
      </c>
      <c r="M2" s="23">
        <v>118.52</v>
      </c>
    </row>
    <row r="3" spans="1:13" x14ac:dyDescent="0.25">
      <c r="A3" t="s">
        <v>21</v>
      </c>
      <c r="B3">
        <v>0.20499999999999999</v>
      </c>
      <c r="C3">
        <v>0.79500000000000004</v>
      </c>
      <c r="D3" t="s">
        <v>22</v>
      </c>
      <c r="E3">
        <v>4</v>
      </c>
      <c r="F3">
        <v>7</v>
      </c>
      <c r="H3">
        <f>INDEX(Base_6403!E2:G28, MATCH('CFOP 6403'!B6, Base_6403!A2:A28, 0), 2)</f>
        <v>12</v>
      </c>
      <c r="J3" s="23">
        <v>12</v>
      </c>
      <c r="K3" s="23">
        <v>110.69</v>
      </c>
      <c r="L3" s="23">
        <v>116.98</v>
      </c>
      <c r="M3" s="23">
        <v>120.72</v>
      </c>
    </row>
    <row r="4" spans="1:13" x14ac:dyDescent="0.25">
      <c r="A4" t="s">
        <v>23</v>
      </c>
      <c r="B4">
        <v>0.2</v>
      </c>
      <c r="C4">
        <v>0.8</v>
      </c>
      <c r="D4" t="s">
        <v>20</v>
      </c>
      <c r="E4">
        <v>4</v>
      </c>
      <c r="F4">
        <v>7</v>
      </c>
      <c r="H4">
        <f>INDEX(Base_6403!E2:G28, MATCH('CFOP 6403'!B6, Base_6403!A2:A28, 0), 3)</f>
        <v>0</v>
      </c>
      <c r="J4" s="23">
        <v>0</v>
      </c>
      <c r="K4" s="23">
        <v>110</v>
      </c>
      <c r="L4" s="23">
        <v>116.25</v>
      </c>
      <c r="M4" s="23">
        <v>120</v>
      </c>
    </row>
    <row r="5" spans="1:13" x14ac:dyDescent="0.25">
      <c r="A5" t="s">
        <v>24</v>
      </c>
      <c r="B5">
        <v>0.18</v>
      </c>
      <c r="C5">
        <v>0.82</v>
      </c>
      <c r="D5" t="s">
        <v>20</v>
      </c>
      <c r="E5">
        <v>4</v>
      </c>
      <c r="F5">
        <v>7</v>
      </c>
      <c r="J5" s="23"/>
      <c r="K5" s="23">
        <v>107.32</v>
      </c>
      <c r="L5" s="23">
        <v>113.41</v>
      </c>
      <c r="M5" s="23">
        <v>117.07</v>
      </c>
    </row>
    <row r="6" spans="1:13" x14ac:dyDescent="0.25">
      <c r="A6" t="s">
        <v>25</v>
      </c>
      <c r="B6">
        <v>0.20499999999999999</v>
      </c>
      <c r="C6">
        <v>0.79500000000000004</v>
      </c>
      <c r="D6" t="s">
        <v>22</v>
      </c>
      <c r="E6">
        <v>4</v>
      </c>
      <c r="F6">
        <v>7</v>
      </c>
      <c r="J6" s="23"/>
      <c r="K6" s="23">
        <v>110.69</v>
      </c>
      <c r="L6" s="23">
        <v>116.98</v>
      </c>
      <c r="M6" s="23">
        <v>120.72</v>
      </c>
    </row>
    <row r="7" spans="1:13" x14ac:dyDescent="0.25">
      <c r="A7" t="s">
        <v>26</v>
      </c>
      <c r="B7">
        <v>0.2</v>
      </c>
      <c r="C7">
        <v>0.8</v>
      </c>
      <c r="D7" t="s">
        <v>20</v>
      </c>
      <c r="E7">
        <v>4</v>
      </c>
      <c r="F7">
        <v>7</v>
      </c>
      <c r="J7" s="23"/>
      <c r="K7" s="23">
        <v>110</v>
      </c>
      <c r="L7" s="23">
        <v>116.25</v>
      </c>
      <c r="M7" s="23">
        <v>120</v>
      </c>
    </row>
    <row r="8" spans="1:13" x14ac:dyDescent="0.25">
      <c r="A8" t="s">
        <v>27</v>
      </c>
      <c r="B8">
        <v>0.2</v>
      </c>
      <c r="C8">
        <v>0.8</v>
      </c>
      <c r="D8" t="s">
        <v>20</v>
      </c>
      <c r="E8">
        <v>4</v>
      </c>
      <c r="F8">
        <v>7</v>
      </c>
      <c r="J8" s="23"/>
      <c r="K8" s="23">
        <v>110</v>
      </c>
      <c r="L8" s="23">
        <v>116.25</v>
      </c>
      <c r="M8" s="23">
        <v>120</v>
      </c>
    </row>
    <row r="9" spans="1:13" x14ac:dyDescent="0.25">
      <c r="A9" t="s">
        <v>4</v>
      </c>
      <c r="B9">
        <v>0.17</v>
      </c>
      <c r="C9">
        <v>0.83</v>
      </c>
      <c r="D9" t="s">
        <v>20</v>
      </c>
      <c r="E9">
        <v>4</v>
      </c>
      <c r="F9">
        <v>7</v>
      </c>
      <c r="J9" s="23"/>
      <c r="K9" s="23">
        <v>106.02</v>
      </c>
      <c r="L9" s="23">
        <v>112.05</v>
      </c>
      <c r="M9" s="23">
        <v>115.66</v>
      </c>
    </row>
    <row r="10" spans="1:13" x14ac:dyDescent="0.25">
      <c r="A10" t="s">
        <v>28</v>
      </c>
      <c r="B10">
        <v>0.19</v>
      </c>
      <c r="C10">
        <v>0.81</v>
      </c>
      <c r="D10" t="s">
        <v>20</v>
      </c>
      <c r="E10">
        <v>4</v>
      </c>
      <c r="F10">
        <v>7</v>
      </c>
      <c r="J10" s="23"/>
      <c r="K10" s="23">
        <v>108.64</v>
      </c>
      <c r="L10" s="23">
        <v>114.81</v>
      </c>
      <c r="M10" s="23">
        <v>118.52</v>
      </c>
    </row>
    <row r="11" spans="1:13" x14ac:dyDescent="0.25">
      <c r="A11" t="s">
        <v>29</v>
      </c>
      <c r="B11">
        <v>0.23</v>
      </c>
      <c r="C11">
        <v>0.77</v>
      </c>
      <c r="D11" t="s">
        <v>20</v>
      </c>
      <c r="E11">
        <v>4</v>
      </c>
      <c r="F11">
        <v>7</v>
      </c>
      <c r="J11" s="23"/>
      <c r="K11" s="23">
        <v>116.91</v>
      </c>
      <c r="L11" s="23">
        <v>123.56</v>
      </c>
      <c r="M11" s="23">
        <v>127.54</v>
      </c>
    </row>
    <row r="12" spans="1:13" x14ac:dyDescent="0.25">
      <c r="A12" t="s">
        <v>30</v>
      </c>
      <c r="B12">
        <v>0.18</v>
      </c>
      <c r="C12">
        <v>0.82</v>
      </c>
      <c r="D12" t="s">
        <v>31</v>
      </c>
      <c r="E12">
        <v>4</v>
      </c>
      <c r="F12">
        <v>12</v>
      </c>
      <c r="J12" s="23"/>
      <c r="K12" s="23">
        <v>107.32</v>
      </c>
      <c r="L12" s="23">
        <v>113.41</v>
      </c>
      <c r="M12" s="23">
        <v>117.07</v>
      </c>
    </row>
    <row r="13" spans="1:13" x14ac:dyDescent="0.25">
      <c r="A13" t="s">
        <v>32</v>
      </c>
      <c r="B13">
        <v>0.17</v>
      </c>
      <c r="C13">
        <v>0.83</v>
      </c>
      <c r="D13" t="s">
        <v>20</v>
      </c>
      <c r="E13">
        <v>4</v>
      </c>
      <c r="F13">
        <v>7</v>
      </c>
      <c r="J13" s="23"/>
      <c r="K13" s="23">
        <v>106.02</v>
      </c>
      <c r="L13" s="23">
        <v>112.05</v>
      </c>
      <c r="M13" s="23">
        <v>115.66</v>
      </c>
    </row>
    <row r="14" spans="1:13" x14ac:dyDescent="0.25">
      <c r="A14" t="s">
        <v>33</v>
      </c>
      <c r="B14">
        <v>0.17</v>
      </c>
      <c r="C14">
        <v>0.83</v>
      </c>
      <c r="D14" t="s">
        <v>20</v>
      </c>
      <c r="E14">
        <v>4</v>
      </c>
      <c r="F14">
        <v>7</v>
      </c>
      <c r="J14" s="23"/>
      <c r="K14" s="23">
        <v>106.02</v>
      </c>
      <c r="L14" s="23">
        <v>112.05</v>
      </c>
      <c r="M14" s="23">
        <v>115.66</v>
      </c>
    </row>
    <row r="15" spans="1:13" x14ac:dyDescent="0.25">
      <c r="A15" t="s">
        <v>34</v>
      </c>
      <c r="B15">
        <v>0.19</v>
      </c>
      <c r="C15">
        <v>0.81</v>
      </c>
      <c r="D15" t="s">
        <v>20</v>
      </c>
      <c r="E15">
        <v>4</v>
      </c>
      <c r="F15">
        <v>7</v>
      </c>
      <c r="J15" s="23"/>
      <c r="K15" s="23">
        <v>108.64</v>
      </c>
      <c r="L15" s="23">
        <v>114.81</v>
      </c>
      <c r="M15" s="23">
        <v>118.52</v>
      </c>
    </row>
    <row r="16" spans="1:13" x14ac:dyDescent="0.25">
      <c r="A16" t="s">
        <v>35</v>
      </c>
      <c r="B16">
        <v>0.2</v>
      </c>
      <c r="C16">
        <v>0.8</v>
      </c>
      <c r="D16" t="s">
        <v>20</v>
      </c>
      <c r="E16">
        <v>4</v>
      </c>
      <c r="F16">
        <v>7</v>
      </c>
      <c r="J16" s="23"/>
      <c r="K16" s="23">
        <v>110</v>
      </c>
      <c r="L16" s="23">
        <v>116.25</v>
      </c>
      <c r="M16" s="23">
        <v>120</v>
      </c>
    </row>
    <row r="17" spans="1:13" x14ac:dyDescent="0.25">
      <c r="A17" t="s">
        <v>36</v>
      </c>
      <c r="B17">
        <v>0.20499999999999999</v>
      </c>
      <c r="C17">
        <v>0.79500000000000004</v>
      </c>
      <c r="D17" t="s">
        <v>22</v>
      </c>
      <c r="E17">
        <v>4</v>
      </c>
      <c r="F17">
        <v>7</v>
      </c>
      <c r="J17" s="23"/>
      <c r="K17" s="23">
        <v>110.69</v>
      </c>
      <c r="L17" s="23">
        <v>116.98</v>
      </c>
      <c r="M17" s="23">
        <v>120.72</v>
      </c>
    </row>
    <row r="18" spans="1:13" x14ac:dyDescent="0.25">
      <c r="A18" t="s">
        <v>37</v>
      </c>
      <c r="B18">
        <v>0.22500000000000001</v>
      </c>
      <c r="C18">
        <v>0.77500000000000002</v>
      </c>
      <c r="D18" t="s">
        <v>20</v>
      </c>
      <c r="E18">
        <v>4</v>
      </c>
      <c r="F18">
        <v>7</v>
      </c>
      <c r="J18" s="23"/>
      <c r="K18" s="23">
        <v>113.55</v>
      </c>
      <c r="L18" s="23">
        <v>121</v>
      </c>
      <c r="M18" s="23">
        <v>123.87</v>
      </c>
    </row>
    <row r="19" spans="1:13" x14ac:dyDescent="0.25">
      <c r="A19" t="s">
        <v>38</v>
      </c>
      <c r="B19">
        <v>0.19500000000000001</v>
      </c>
      <c r="C19">
        <v>0.80500000000000005</v>
      </c>
      <c r="D19" t="s">
        <v>31</v>
      </c>
      <c r="E19">
        <v>4</v>
      </c>
      <c r="F19">
        <v>12</v>
      </c>
      <c r="J19" s="23"/>
      <c r="K19" s="23">
        <v>109.32</v>
      </c>
      <c r="L19" s="23">
        <v>115.53</v>
      </c>
      <c r="M19" s="23">
        <v>119.25</v>
      </c>
    </row>
    <row r="20" spans="1:13" x14ac:dyDescent="0.25">
      <c r="A20" t="s">
        <v>39</v>
      </c>
      <c r="B20">
        <v>0.2</v>
      </c>
      <c r="C20">
        <v>0.8</v>
      </c>
      <c r="D20" t="s">
        <v>22</v>
      </c>
      <c r="E20">
        <v>4</v>
      </c>
      <c r="F20">
        <v>7</v>
      </c>
      <c r="J20" s="23"/>
      <c r="K20" s="23"/>
      <c r="L20" s="23"/>
      <c r="M20" s="23"/>
    </row>
    <row r="21" spans="1:13" x14ac:dyDescent="0.25">
      <c r="A21" t="s">
        <v>40</v>
      </c>
      <c r="B21">
        <v>0.2</v>
      </c>
      <c r="C21">
        <v>0.8</v>
      </c>
      <c r="D21" t="s">
        <v>20</v>
      </c>
      <c r="E21">
        <v>4</v>
      </c>
      <c r="F21">
        <v>7</v>
      </c>
      <c r="J21" s="23"/>
      <c r="K21" s="23">
        <v>110</v>
      </c>
      <c r="L21" s="23">
        <v>116.25</v>
      </c>
      <c r="M21" s="23">
        <v>120</v>
      </c>
    </row>
    <row r="22" spans="1:13" x14ac:dyDescent="0.25">
      <c r="A22" t="s">
        <v>41</v>
      </c>
      <c r="B22">
        <v>0.19500000000000001</v>
      </c>
      <c r="C22">
        <v>0.80500000000000005</v>
      </c>
      <c r="D22" t="s">
        <v>20</v>
      </c>
      <c r="E22">
        <v>4</v>
      </c>
      <c r="F22">
        <v>7</v>
      </c>
      <c r="J22" s="23"/>
      <c r="K22" s="23">
        <v>109.32</v>
      </c>
      <c r="L22" s="23">
        <v>115.53</v>
      </c>
      <c r="M22" s="23">
        <v>119.25</v>
      </c>
    </row>
    <row r="23" spans="1:13" x14ac:dyDescent="0.25">
      <c r="A23" t="s">
        <v>42</v>
      </c>
      <c r="B23">
        <v>0.2</v>
      </c>
      <c r="C23">
        <v>0.8</v>
      </c>
      <c r="D23" t="s">
        <v>20</v>
      </c>
      <c r="E23">
        <v>4</v>
      </c>
      <c r="F23">
        <v>7</v>
      </c>
      <c r="J23" s="23"/>
      <c r="K23" s="23">
        <v>110</v>
      </c>
      <c r="L23" s="23">
        <v>116.25</v>
      </c>
      <c r="M23" s="23">
        <v>120</v>
      </c>
    </row>
    <row r="24" spans="1:13" x14ac:dyDescent="0.25">
      <c r="A24" t="s">
        <v>43</v>
      </c>
      <c r="B24">
        <v>0.17</v>
      </c>
      <c r="C24">
        <v>0.83</v>
      </c>
      <c r="D24" t="s">
        <v>31</v>
      </c>
      <c r="E24">
        <v>4</v>
      </c>
      <c r="F24">
        <v>12</v>
      </c>
      <c r="J24" s="23"/>
      <c r="K24" s="23">
        <v>106.02</v>
      </c>
      <c r="L24" s="23">
        <v>112.05</v>
      </c>
      <c r="M24" s="23">
        <v>115.66</v>
      </c>
    </row>
    <row r="25" spans="1:13" x14ac:dyDescent="0.25">
      <c r="A25" t="s">
        <v>44</v>
      </c>
      <c r="B25">
        <v>0.17</v>
      </c>
      <c r="C25">
        <v>0.83</v>
      </c>
      <c r="D25" t="s">
        <v>31</v>
      </c>
      <c r="E25">
        <v>4</v>
      </c>
      <c r="F25">
        <v>12</v>
      </c>
      <c r="J25" s="23"/>
      <c r="K25" s="23">
        <v>106.02</v>
      </c>
      <c r="L25" s="23">
        <v>112.05</v>
      </c>
      <c r="M25" s="23">
        <v>115.66</v>
      </c>
    </row>
    <row r="26" spans="1:13" x14ac:dyDescent="0.25">
      <c r="A26" t="s">
        <v>45</v>
      </c>
      <c r="B26">
        <v>0.19</v>
      </c>
      <c r="C26">
        <v>0.81</v>
      </c>
      <c r="D26" t="s">
        <v>20</v>
      </c>
      <c r="E26">
        <v>4</v>
      </c>
      <c r="F26">
        <v>7</v>
      </c>
      <c r="J26" s="23"/>
      <c r="K26" s="23">
        <v>108.64</v>
      </c>
      <c r="L26" s="23">
        <v>114.81</v>
      </c>
      <c r="M26" s="23">
        <v>118.52</v>
      </c>
    </row>
    <row r="27" spans="1:13" x14ac:dyDescent="0.25">
      <c r="A27" t="s">
        <v>46</v>
      </c>
      <c r="B27">
        <v>0.18</v>
      </c>
      <c r="C27">
        <v>0.82</v>
      </c>
      <c r="D27" t="s">
        <v>31</v>
      </c>
      <c r="E27">
        <v>4</v>
      </c>
      <c r="F27">
        <v>12</v>
      </c>
      <c r="J27" s="23"/>
      <c r="K27" s="23">
        <v>107.32</v>
      </c>
      <c r="L27" s="23">
        <v>113.41</v>
      </c>
      <c r="M27" s="23">
        <v>117.07</v>
      </c>
    </row>
    <row r="28" spans="1:13" x14ac:dyDescent="0.25">
      <c r="A28" t="s">
        <v>47</v>
      </c>
      <c r="B28">
        <v>0.2</v>
      </c>
      <c r="C28">
        <v>0.8</v>
      </c>
      <c r="D28" t="s">
        <v>20</v>
      </c>
      <c r="E28">
        <v>4</v>
      </c>
      <c r="F28">
        <v>7</v>
      </c>
      <c r="J28" s="23"/>
      <c r="K28" s="23">
        <v>110</v>
      </c>
      <c r="L28" s="23">
        <v>116.25</v>
      </c>
      <c r="M28" s="23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J16" sqref="J16"/>
    </sheetView>
  </sheetViews>
  <sheetFormatPr defaultRowHeight="15" x14ac:dyDescent="0.25"/>
  <cols>
    <col min="3" max="3" width="6.42578125" bestFit="1" customWidth="1"/>
    <col min="4" max="4" width="16" bestFit="1" customWidth="1"/>
    <col min="5" max="5" width="19" bestFit="1" customWidth="1"/>
  </cols>
  <sheetData>
    <row r="1" spans="1:5" x14ac:dyDescent="0.25">
      <c r="A1" t="s">
        <v>14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25">
      <c r="A2" t="s">
        <v>19</v>
      </c>
      <c r="B2" t="s">
        <v>52</v>
      </c>
      <c r="C2">
        <v>0.81</v>
      </c>
      <c r="D2">
        <v>7.0000000000000007E-2</v>
      </c>
      <c r="E2">
        <v>0.19</v>
      </c>
    </row>
    <row r="3" spans="1:5" x14ac:dyDescent="0.25">
      <c r="A3" t="s">
        <v>21</v>
      </c>
      <c r="B3" t="s">
        <v>53</v>
      </c>
      <c r="C3">
        <v>0.79500000000000004</v>
      </c>
      <c r="D3">
        <v>7.0000000000000007E-2</v>
      </c>
      <c r="E3">
        <v>0.20499999999999999</v>
      </c>
    </row>
    <row r="4" spans="1:5" x14ac:dyDescent="0.25">
      <c r="A4" t="s">
        <v>23</v>
      </c>
      <c r="B4" t="s">
        <v>54</v>
      </c>
      <c r="C4">
        <v>0.8</v>
      </c>
      <c r="D4">
        <v>7.0000000000000007E-2</v>
      </c>
      <c r="E4">
        <v>0.2</v>
      </c>
    </row>
    <row r="5" spans="1:5" x14ac:dyDescent="0.25">
      <c r="A5" t="s">
        <v>24</v>
      </c>
      <c r="B5" t="s">
        <v>55</v>
      </c>
      <c r="C5">
        <v>0.82</v>
      </c>
      <c r="D5">
        <v>7.0000000000000007E-2</v>
      </c>
      <c r="E5">
        <v>0.18</v>
      </c>
    </row>
    <row r="6" spans="1:5" x14ac:dyDescent="0.25">
      <c r="A6" t="s">
        <v>25</v>
      </c>
      <c r="B6" t="s">
        <v>56</v>
      </c>
      <c r="C6">
        <v>0.79500000000000004</v>
      </c>
      <c r="D6">
        <v>7.0000000000000007E-2</v>
      </c>
      <c r="E6">
        <v>0.20499999999999999</v>
      </c>
    </row>
    <row r="7" spans="1:5" x14ac:dyDescent="0.25">
      <c r="A7" t="s">
        <v>26</v>
      </c>
      <c r="B7" t="s">
        <v>57</v>
      </c>
      <c r="C7">
        <v>0.8</v>
      </c>
      <c r="D7">
        <v>7.0000000000000007E-2</v>
      </c>
      <c r="E7">
        <v>0.2</v>
      </c>
    </row>
    <row r="8" spans="1:5" x14ac:dyDescent="0.25">
      <c r="A8" t="s">
        <v>27</v>
      </c>
      <c r="B8" t="s">
        <v>58</v>
      </c>
      <c r="C8">
        <v>0.8</v>
      </c>
      <c r="D8">
        <v>7.0000000000000007E-2</v>
      </c>
      <c r="E8">
        <v>0.2</v>
      </c>
    </row>
    <row r="9" spans="1:5" x14ac:dyDescent="0.25">
      <c r="A9" t="s">
        <v>4</v>
      </c>
      <c r="B9" t="s">
        <v>59</v>
      </c>
      <c r="C9">
        <v>0.83</v>
      </c>
      <c r="D9">
        <v>7.0000000000000007E-2</v>
      </c>
      <c r="E9">
        <v>0.17</v>
      </c>
    </row>
    <row r="10" spans="1:5" x14ac:dyDescent="0.25">
      <c r="A10" t="s">
        <v>28</v>
      </c>
      <c r="B10" t="s">
        <v>60</v>
      </c>
      <c r="C10">
        <v>0.81</v>
      </c>
      <c r="D10">
        <v>7.0000000000000007E-2</v>
      </c>
      <c r="E10">
        <v>0.19</v>
      </c>
    </row>
    <row r="11" spans="1:5" x14ac:dyDescent="0.25">
      <c r="A11" t="s">
        <v>29</v>
      </c>
      <c r="B11" t="s">
        <v>61</v>
      </c>
      <c r="C11">
        <v>0.77</v>
      </c>
      <c r="D11">
        <v>7.0000000000000007E-2</v>
      </c>
      <c r="E11">
        <v>0.23</v>
      </c>
    </row>
    <row r="12" spans="1:5" x14ac:dyDescent="0.25">
      <c r="A12" t="s">
        <v>30</v>
      </c>
      <c r="B12" t="s">
        <v>62</v>
      </c>
      <c r="C12">
        <v>0.82</v>
      </c>
      <c r="D12">
        <v>0.12</v>
      </c>
      <c r="E12">
        <v>0.18</v>
      </c>
    </row>
    <row r="13" spans="1:5" x14ac:dyDescent="0.25">
      <c r="A13" t="s">
        <v>32</v>
      </c>
      <c r="B13" t="s">
        <v>63</v>
      </c>
      <c r="C13">
        <v>0.83</v>
      </c>
      <c r="D13">
        <v>7.0000000000000007E-2</v>
      </c>
      <c r="E13">
        <v>0.17</v>
      </c>
    </row>
    <row r="14" spans="1:5" x14ac:dyDescent="0.25">
      <c r="A14" t="s">
        <v>33</v>
      </c>
      <c r="B14" t="s">
        <v>64</v>
      </c>
      <c r="C14">
        <v>0.83</v>
      </c>
      <c r="D14">
        <v>7.0000000000000007E-2</v>
      </c>
      <c r="E14">
        <v>0.17</v>
      </c>
    </row>
    <row r="15" spans="1:5" x14ac:dyDescent="0.25">
      <c r="A15" t="s">
        <v>34</v>
      </c>
      <c r="B15" t="s">
        <v>65</v>
      </c>
      <c r="C15">
        <v>0.81</v>
      </c>
      <c r="D15">
        <v>7.0000000000000007E-2</v>
      </c>
      <c r="E15">
        <v>0.19</v>
      </c>
    </row>
    <row r="16" spans="1:5" x14ac:dyDescent="0.25">
      <c r="A16" t="s">
        <v>35</v>
      </c>
      <c r="B16" t="s">
        <v>66</v>
      </c>
      <c r="C16">
        <v>0.8</v>
      </c>
      <c r="D16">
        <v>7.0000000000000007E-2</v>
      </c>
      <c r="E16">
        <v>0.2</v>
      </c>
    </row>
    <row r="17" spans="1:5" x14ac:dyDescent="0.25">
      <c r="A17" t="s">
        <v>36</v>
      </c>
      <c r="B17" t="s">
        <v>67</v>
      </c>
      <c r="C17">
        <v>0.79500000000000004</v>
      </c>
      <c r="D17">
        <v>7.0000000000000007E-2</v>
      </c>
      <c r="E17">
        <v>0.20499999999999999</v>
      </c>
    </row>
    <row r="18" spans="1:5" x14ac:dyDescent="0.25">
      <c r="A18" t="s">
        <v>37</v>
      </c>
      <c r="B18" t="s">
        <v>68</v>
      </c>
      <c r="C18">
        <v>0.77500000000000002</v>
      </c>
      <c r="D18">
        <v>7.0000000000000007E-2</v>
      </c>
      <c r="E18">
        <v>0.22500000000000001</v>
      </c>
    </row>
    <row r="19" spans="1:5" x14ac:dyDescent="0.25">
      <c r="A19" t="s">
        <v>38</v>
      </c>
      <c r="B19" t="s">
        <v>69</v>
      </c>
      <c r="C19">
        <v>0.80500000000000005</v>
      </c>
      <c r="D19">
        <v>0.12</v>
      </c>
      <c r="E19">
        <v>0.19500000000000001</v>
      </c>
    </row>
    <row r="20" spans="1:5" x14ac:dyDescent="0.25">
      <c r="A20" t="s">
        <v>40</v>
      </c>
      <c r="B20" t="s">
        <v>70</v>
      </c>
      <c r="C20">
        <v>0.8</v>
      </c>
      <c r="D20">
        <v>7.0000000000000007E-2</v>
      </c>
      <c r="E20">
        <v>0.2</v>
      </c>
    </row>
    <row r="21" spans="1:5" x14ac:dyDescent="0.25">
      <c r="A21" t="s">
        <v>41</v>
      </c>
      <c r="B21" t="s">
        <v>71</v>
      </c>
      <c r="C21">
        <v>0.80500000000000005</v>
      </c>
      <c r="D21">
        <v>7.0000000000000007E-2</v>
      </c>
      <c r="E21">
        <v>0.19500000000000001</v>
      </c>
    </row>
    <row r="22" spans="1:5" x14ac:dyDescent="0.25">
      <c r="A22" t="s">
        <v>42</v>
      </c>
      <c r="B22" t="s">
        <v>72</v>
      </c>
      <c r="C22">
        <v>0.8</v>
      </c>
      <c r="D22">
        <v>7.0000000000000007E-2</v>
      </c>
      <c r="E22">
        <v>0.2</v>
      </c>
    </row>
    <row r="23" spans="1:5" x14ac:dyDescent="0.25">
      <c r="A23" t="s">
        <v>43</v>
      </c>
      <c r="B23" t="s">
        <v>73</v>
      </c>
      <c r="C23">
        <v>0.83</v>
      </c>
      <c r="D23">
        <v>0.12</v>
      </c>
      <c r="E23">
        <v>0.17</v>
      </c>
    </row>
    <row r="24" spans="1:5" x14ac:dyDescent="0.25">
      <c r="A24" t="s">
        <v>44</v>
      </c>
      <c r="B24" t="s">
        <v>74</v>
      </c>
      <c r="C24">
        <v>0.83</v>
      </c>
      <c r="D24">
        <v>0.12</v>
      </c>
      <c r="E24">
        <v>0.17</v>
      </c>
    </row>
    <row r="25" spans="1:5" x14ac:dyDescent="0.25">
      <c r="A25" t="s">
        <v>45</v>
      </c>
      <c r="B25" t="s">
        <v>75</v>
      </c>
      <c r="C25">
        <v>0.81</v>
      </c>
      <c r="D25">
        <v>7.0000000000000007E-2</v>
      </c>
      <c r="E25">
        <v>0.19</v>
      </c>
    </row>
    <row r="26" spans="1:5" x14ac:dyDescent="0.25">
      <c r="A26" t="s">
        <v>46</v>
      </c>
      <c r="B26" t="s">
        <v>76</v>
      </c>
      <c r="C26">
        <v>0.82</v>
      </c>
      <c r="D26">
        <v>0.12</v>
      </c>
      <c r="E26">
        <v>0.18</v>
      </c>
    </row>
    <row r="27" spans="1:5" x14ac:dyDescent="0.25">
      <c r="A27" t="s">
        <v>47</v>
      </c>
      <c r="B27" t="s">
        <v>77</v>
      </c>
      <c r="C27">
        <v>0.8</v>
      </c>
      <c r="D27">
        <v>7.0000000000000007E-2</v>
      </c>
      <c r="E27">
        <v>0.2</v>
      </c>
    </row>
  </sheetData>
  <sheetProtection algorithmName="SHA-512" hashValue="x84djHBBCIFHa/SO1XQA0Um8whw6XRnw/EPvBjI/MP01ozH7jEcHdEOpoER+UMXVIj4odEiPV/wMxJWppOXSTQ==" saltValue="E3OfSIwm72EvaOMftgqOsQ==" spinCount="100000" sheet="1" objects="1" scenarios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713B2F57EA2D45B402AE4E76AA3EA8" ma:contentTypeVersion="19" ma:contentTypeDescription="Crie um novo documento." ma:contentTypeScope="" ma:versionID="aa5304185e9bcfd4c66056d6efadfebb">
  <xsd:schema xmlns:xsd="http://www.w3.org/2001/XMLSchema" xmlns:xs="http://www.w3.org/2001/XMLSchema" xmlns:p="http://schemas.microsoft.com/office/2006/metadata/properties" xmlns:ns2="2569273d-d68d-4e58-9bc3-03deb647e18f" xmlns:ns3="178eb08f-a18d-4ed6-8ba6-2617d94200e7" targetNamespace="http://schemas.microsoft.com/office/2006/metadata/properties" ma:root="true" ma:fieldsID="282675cdd6bacd9055f21a08dcc09593" ns2:_="" ns3:_="">
    <xsd:import namespace="2569273d-d68d-4e58-9bc3-03deb647e18f"/>
    <xsd:import namespace="178eb08f-a18d-4ed6-8ba6-2617d94200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9273d-d68d-4e58-9bc3-03deb647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3da71d-b22b-49d0-b32b-d756d3857fe2}" ma:internalName="TaxCatchAll" ma:showField="CatchAllData" ma:web="2569273d-d68d-4e58-9bc3-03deb647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eb08f-a18d-4ed6-8ba6-2617d94200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83762-4447-4d11-8130-0a1a7ab7b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69273d-d68d-4e58-9bc3-03deb647e18f" xsi:nil="true"/>
    <lcf76f155ced4ddcb4097134ff3c332f xmlns="178eb08f-a18d-4ed6-8ba6-2617d94200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94508D-24D4-46C3-91C2-E168720796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9273d-d68d-4e58-9bc3-03deb647e18f"/>
    <ds:schemaRef ds:uri="178eb08f-a18d-4ed6-8ba6-2617d9420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D7BFAF-C3E4-4789-8BB7-3A41EB76F6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3FC776-2123-48F8-A5AC-A28699AA2063}">
  <ds:schemaRefs>
    <ds:schemaRef ds:uri="http://schemas.microsoft.com/office/2006/metadata/properties"/>
    <ds:schemaRef ds:uri="http://schemas.microsoft.com/office/infopath/2007/PartnerControls"/>
    <ds:schemaRef ds:uri="2569273d-d68d-4e58-9bc3-03deb647e18f"/>
    <ds:schemaRef ds:uri="178eb08f-a18d-4ed6-8ba6-2617d94200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CFOP 6403</vt:lpstr>
      <vt:lpstr>CFOP 6108</vt:lpstr>
      <vt:lpstr>Base_6403</vt:lpstr>
      <vt:lpstr>Base_6108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Suporte | Platinum TI</cp:lastModifiedBy>
  <dcterms:created xsi:type="dcterms:W3CDTF">2026-03-30T20:07:50Z</dcterms:created>
  <dcterms:modified xsi:type="dcterms:W3CDTF">2026-04-01T14:31:02Z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0x010100B0713B2F57EA2D45B402AE4E76AA3EA8</vt:lpwstr>
  </property>
  <property fmtid="{D5CDD505-2E9C-101B-9397-08002B2CF9AE}" pid="3" name="MediaServiceImageTags">
    <vt:lpwstr/>
  </property>
</Properties>
</file>