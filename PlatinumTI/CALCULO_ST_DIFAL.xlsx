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Ludolff\Desktop\PYTHON CALCULO ST\"/>
    </mc:Choice>
  </mc:AlternateContent>
  <xr:revisionPtr revIDLastSave="0" documentId="13_ncr:1_{9DB9B233-A4C0-449A-B851-49CA1BB0D8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SULTA" sheetId="1" r:id="rId1"/>
    <sheet name="COMPLETA" sheetId="3" r:id="rId2"/>
  </sheets>
  <definedNames>
    <definedName name="_xlnm._FilterDatabase" localSheetId="0" hidden="1">CONSULTA!$A$1:$A$62</definedName>
  </definedNames>
  <calcPr calcId="191029"/>
</workbook>
</file>

<file path=xl/calcChain.xml><?xml version="1.0" encoding="utf-8"?>
<calcChain xmlns="http://schemas.openxmlformats.org/spreadsheetml/2006/main">
  <c r="K33" i="3" l="1"/>
  <c r="K3" i="3"/>
  <c r="K4" i="3"/>
  <c r="K5" i="3"/>
  <c r="K6" i="3"/>
  <c r="M6" i="3" s="1"/>
  <c r="K7" i="3"/>
  <c r="K8" i="3"/>
  <c r="K9" i="3"/>
  <c r="M9" i="3" s="1"/>
  <c r="K10" i="3"/>
  <c r="K11" i="3"/>
  <c r="K12" i="3"/>
  <c r="K13" i="3"/>
  <c r="K14" i="3"/>
  <c r="M14" i="3" s="1"/>
  <c r="K15" i="3"/>
  <c r="K16" i="3"/>
  <c r="K17" i="3"/>
  <c r="K18" i="3"/>
  <c r="M18" i="3" s="1"/>
  <c r="K19" i="3"/>
  <c r="K20" i="3"/>
  <c r="K21" i="3"/>
  <c r="K22" i="3"/>
  <c r="M22" i="3" s="1"/>
  <c r="K23" i="3"/>
  <c r="K24" i="3"/>
  <c r="M24" i="3" s="1"/>
  <c r="K25" i="3"/>
  <c r="K26" i="3"/>
  <c r="K27" i="3"/>
  <c r="K28" i="3"/>
  <c r="K29" i="3"/>
  <c r="K30" i="3"/>
  <c r="M30" i="3" s="1"/>
  <c r="K31" i="3"/>
  <c r="K32" i="3"/>
  <c r="K34" i="3"/>
  <c r="K35" i="3"/>
  <c r="K36" i="3"/>
  <c r="K37" i="3"/>
  <c r="K38" i="3"/>
  <c r="M38" i="3" s="1"/>
  <c r="K39" i="3"/>
  <c r="K40" i="3"/>
  <c r="K41" i="3"/>
  <c r="M41" i="3" s="1"/>
  <c r="K42" i="3"/>
  <c r="K43" i="3"/>
  <c r="K44" i="3"/>
  <c r="K45" i="3"/>
  <c r="K46" i="3"/>
  <c r="M46" i="3" s="1"/>
  <c r="K47" i="3"/>
  <c r="K48" i="3"/>
  <c r="K49" i="3"/>
  <c r="M49" i="3" s="1"/>
  <c r="K50" i="3"/>
  <c r="M50" i="3" s="1"/>
  <c r="K51" i="3"/>
  <c r="K52" i="3"/>
  <c r="K53" i="3"/>
  <c r="K54" i="3"/>
  <c r="M54" i="3" s="1"/>
  <c r="K55" i="3"/>
  <c r="K56" i="3"/>
  <c r="K57" i="3"/>
  <c r="M57" i="3" s="1"/>
  <c r="K58" i="3"/>
  <c r="K59" i="3"/>
  <c r="K60" i="3"/>
  <c r="M60" i="3" s="1"/>
  <c r="K61" i="3"/>
  <c r="K62" i="3"/>
  <c r="K63" i="3"/>
  <c r="K2" i="3"/>
  <c r="M2" i="3" s="1"/>
  <c r="L63" i="3"/>
  <c r="M63" i="3" s="1"/>
  <c r="L62" i="3"/>
  <c r="L61" i="3"/>
  <c r="M61" i="3" s="1"/>
  <c r="L60" i="3"/>
  <c r="L59" i="3"/>
  <c r="M59" i="3" s="1"/>
  <c r="M58" i="3"/>
  <c r="L58" i="3"/>
  <c r="L57" i="3"/>
  <c r="L56" i="3"/>
  <c r="L55" i="3"/>
  <c r="M55" i="3"/>
  <c r="L54" i="3"/>
  <c r="L53" i="3"/>
  <c r="L52" i="3"/>
  <c r="M52" i="3" s="1"/>
  <c r="L51" i="3"/>
  <c r="M51" i="3" s="1"/>
  <c r="L50" i="3"/>
  <c r="L49" i="3"/>
  <c r="L48" i="3"/>
  <c r="M48" i="3"/>
  <c r="L47" i="3"/>
  <c r="M47" i="3"/>
  <c r="L46" i="3"/>
  <c r="L45" i="3"/>
  <c r="M45" i="3" s="1"/>
  <c r="L44" i="3"/>
  <c r="L43" i="3"/>
  <c r="M43" i="3" s="1"/>
  <c r="M42" i="3"/>
  <c r="L42" i="3"/>
  <c r="L41" i="3"/>
  <c r="L40" i="3"/>
  <c r="M40" i="3"/>
  <c r="L39" i="3"/>
  <c r="M39" i="3"/>
  <c r="L38" i="3"/>
  <c r="L37" i="3"/>
  <c r="M37" i="3" s="1"/>
  <c r="L36" i="3"/>
  <c r="L35" i="3"/>
  <c r="M35" i="3" s="1"/>
  <c r="M34" i="3"/>
  <c r="L34" i="3"/>
  <c r="L33" i="3"/>
  <c r="L32" i="3"/>
  <c r="M32" i="3"/>
  <c r="L31" i="3"/>
  <c r="M31" i="3"/>
  <c r="L30" i="3"/>
  <c r="L29" i="3"/>
  <c r="L28" i="3"/>
  <c r="M28" i="3" s="1"/>
  <c r="L27" i="3"/>
  <c r="M27" i="3" s="1"/>
  <c r="M26" i="3"/>
  <c r="L26" i="3"/>
  <c r="L25" i="3"/>
  <c r="M25" i="3"/>
  <c r="L24" i="3"/>
  <c r="L23" i="3"/>
  <c r="M23" i="3"/>
  <c r="L22" i="3"/>
  <c r="L21" i="3"/>
  <c r="L20" i="3"/>
  <c r="M20" i="3" s="1"/>
  <c r="L19" i="3"/>
  <c r="M19" i="3" s="1"/>
  <c r="L18" i="3"/>
  <c r="L17" i="3"/>
  <c r="M17" i="3"/>
  <c r="L16" i="3"/>
  <c r="M16" i="3"/>
  <c r="L15" i="3"/>
  <c r="M15" i="3"/>
  <c r="L14" i="3"/>
  <c r="L13" i="3"/>
  <c r="M13" i="3" s="1"/>
  <c r="L12" i="3"/>
  <c r="M12" i="3" s="1"/>
  <c r="L11" i="3"/>
  <c r="M11" i="3"/>
  <c r="M10" i="3"/>
  <c r="L10" i="3"/>
  <c r="L9" i="3"/>
  <c r="L8" i="3"/>
  <c r="M8" i="3"/>
  <c r="L7" i="3"/>
  <c r="M7" i="3"/>
  <c r="L6" i="3"/>
  <c r="L5" i="3"/>
  <c r="L4" i="3"/>
  <c r="M4" i="3" s="1"/>
  <c r="L3" i="3"/>
  <c r="M3" i="3"/>
  <c r="L2" i="3"/>
  <c r="M56" i="3" l="1"/>
  <c r="M33" i="3"/>
  <c r="M62" i="3"/>
  <c r="M53" i="3"/>
  <c r="M44" i="3"/>
  <c r="M21" i="3"/>
  <c r="M36" i="3"/>
  <c r="M5" i="3"/>
  <c r="M29" i="3"/>
  <c r="L62" i="1" l="1"/>
  <c r="K62" i="1"/>
  <c r="M62" i="1" s="1"/>
  <c r="L61" i="1"/>
  <c r="K61" i="1"/>
  <c r="M61" i="1" s="1"/>
  <c r="L60" i="1"/>
  <c r="K60" i="1"/>
  <c r="M60" i="1" s="1"/>
  <c r="L59" i="1"/>
  <c r="K59" i="1"/>
  <c r="M59" i="1" s="1"/>
  <c r="L58" i="1"/>
  <c r="K58" i="1"/>
  <c r="M58" i="1" s="1"/>
  <c r="L57" i="1"/>
  <c r="K57" i="1"/>
  <c r="M57" i="1" s="1"/>
  <c r="L56" i="1"/>
  <c r="K56" i="1"/>
  <c r="M56" i="1" s="1"/>
  <c r="L55" i="1"/>
  <c r="K55" i="1"/>
  <c r="L54" i="1"/>
  <c r="K54" i="1"/>
  <c r="M54" i="1" s="1"/>
  <c r="L53" i="1"/>
  <c r="K53" i="1"/>
  <c r="L52" i="1"/>
  <c r="K52" i="1"/>
  <c r="L51" i="1"/>
  <c r="K51" i="1"/>
  <c r="M51" i="1" s="1"/>
  <c r="L50" i="1"/>
  <c r="K50" i="1"/>
  <c r="L49" i="1"/>
  <c r="K49" i="1"/>
  <c r="L48" i="1"/>
  <c r="K48" i="1"/>
  <c r="M48" i="1" s="1"/>
  <c r="L47" i="1"/>
  <c r="K47" i="1"/>
  <c r="L46" i="1"/>
  <c r="K46" i="1"/>
  <c r="M46" i="1" s="1"/>
  <c r="L45" i="1"/>
  <c r="K45" i="1"/>
  <c r="M45" i="1" s="1"/>
  <c r="L44" i="1"/>
  <c r="K44" i="1"/>
  <c r="M44" i="1" s="1"/>
  <c r="L43" i="1"/>
  <c r="K43" i="1"/>
  <c r="M43" i="1" s="1"/>
  <c r="L42" i="1"/>
  <c r="K42" i="1"/>
  <c r="M42" i="1" s="1"/>
  <c r="L41" i="1"/>
  <c r="K41" i="1"/>
  <c r="M41" i="1" s="1"/>
  <c r="L40" i="1"/>
  <c r="K40" i="1"/>
  <c r="M40" i="1" s="1"/>
  <c r="L39" i="1"/>
  <c r="K39" i="1"/>
  <c r="L38" i="1"/>
  <c r="K38" i="1"/>
  <c r="M38" i="1" s="1"/>
  <c r="L37" i="1"/>
  <c r="K37" i="1"/>
  <c r="L36" i="1"/>
  <c r="K36" i="1"/>
  <c r="L35" i="1"/>
  <c r="K35" i="1"/>
  <c r="L34" i="1"/>
  <c r="K34" i="1"/>
  <c r="L33" i="1"/>
  <c r="K33" i="1"/>
  <c r="M33" i="1" s="1"/>
  <c r="L32" i="1"/>
  <c r="K32" i="1"/>
  <c r="M32" i="1" s="1"/>
  <c r="L31" i="1"/>
  <c r="M31" i="1" s="1"/>
  <c r="K31" i="1"/>
  <c r="L30" i="1"/>
  <c r="K30" i="1"/>
  <c r="M30" i="1" s="1"/>
  <c r="L29" i="1"/>
  <c r="K29" i="1"/>
  <c r="M29" i="1" s="1"/>
  <c r="L28" i="1"/>
  <c r="K28" i="1"/>
  <c r="M28" i="1" s="1"/>
  <c r="L27" i="1"/>
  <c r="K27" i="1"/>
  <c r="M27" i="1" s="1"/>
  <c r="L26" i="1"/>
  <c r="K26" i="1"/>
  <c r="M26" i="1" s="1"/>
  <c r="L25" i="1"/>
  <c r="K25" i="1"/>
  <c r="M25" i="1" s="1"/>
  <c r="L24" i="1"/>
  <c r="K24" i="1"/>
  <c r="M24" i="1" s="1"/>
  <c r="L23" i="1"/>
  <c r="K23" i="1"/>
  <c r="L22" i="1"/>
  <c r="K22" i="1"/>
  <c r="M22" i="1" s="1"/>
  <c r="L21" i="1"/>
  <c r="K21" i="1"/>
  <c r="L20" i="1"/>
  <c r="K20" i="1"/>
  <c r="L19" i="1"/>
  <c r="K19" i="1"/>
  <c r="L18" i="1"/>
  <c r="K18" i="1"/>
  <c r="M18" i="1" s="1"/>
  <c r="L17" i="1"/>
  <c r="K17" i="1"/>
  <c r="M17" i="1" s="1"/>
  <c r="L16" i="1"/>
  <c r="K16" i="1"/>
  <c r="L15" i="1"/>
  <c r="M15" i="1" s="1"/>
  <c r="K15" i="1"/>
  <c r="L14" i="1"/>
  <c r="K14" i="1"/>
  <c r="M14" i="1" s="1"/>
  <c r="L13" i="1"/>
  <c r="K13" i="1"/>
  <c r="L12" i="1"/>
  <c r="K12" i="1"/>
  <c r="M12" i="1" s="1"/>
  <c r="L11" i="1"/>
  <c r="K11" i="1"/>
  <c r="M11" i="1" s="1"/>
  <c r="L10" i="1"/>
  <c r="K10" i="1"/>
  <c r="M10" i="1" s="1"/>
  <c r="L9" i="1"/>
  <c r="K9" i="1"/>
  <c r="M9" i="1" s="1"/>
  <c r="L8" i="1"/>
  <c r="K8" i="1"/>
  <c r="M8" i="1" s="1"/>
  <c r="L7" i="1"/>
  <c r="K7" i="1"/>
  <c r="L6" i="1"/>
  <c r="K6" i="1"/>
  <c r="M6" i="1" s="1"/>
  <c r="L5" i="1"/>
  <c r="K5" i="1"/>
  <c r="L4" i="1"/>
  <c r="K4" i="1"/>
  <c r="L3" i="1"/>
  <c r="K3" i="1"/>
  <c r="L2" i="1"/>
  <c r="K2" i="1"/>
  <c r="M2" i="1" s="1"/>
  <c r="M4" i="1" l="1"/>
  <c r="M7" i="1"/>
  <c r="M19" i="1"/>
  <c r="M34" i="1"/>
  <c r="M49" i="1"/>
  <c r="M53" i="1"/>
  <c r="M5" i="1"/>
  <c r="M16" i="1"/>
  <c r="M20" i="1"/>
  <c r="M23" i="1"/>
  <c r="M35" i="1"/>
  <c r="M50" i="1"/>
  <c r="M13" i="1"/>
  <c r="M21" i="1"/>
  <c r="M36" i="1"/>
  <c r="M39" i="1"/>
  <c r="M47" i="1"/>
  <c r="M3" i="1"/>
  <c r="M37" i="1"/>
  <c r="M52" i="1"/>
  <c r="M55" i="1"/>
</calcChain>
</file>

<file path=xl/sharedStrings.xml><?xml version="1.0" encoding="utf-8"?>
<sst xmlns="http://schemas.openxmlformats.org/spreadsheetml/2006/main" count="765" uniqueCount="139">
  <si>
    <t>NCM</t>
  </si>
  <si>
    <t>PRODUTO</t>
  </si>
  <si>
    <t>ST RJ</t>
  </si>
  <si>
    <t>AQUISIÇÃO EXTERNA/INTERNA</t>
  </si>
  <si>
    <t>ORIGEM (NACIONAL/IMPORTADA)</t>
  </si>
  <si>
    <t>ST INCLUSA</t>
  </si>
  <si>
    <t>Origem Importada %</t>
  </si>
  <si>
    <t>Origem Nacional %</t>
  </si>
  <si>
    <t>Origem RJ %</t>
  </si>
  <si>
    <t>CUSTO UNITÁRIO</t>
  </si>
  <si>
    <t>VLR ST INTERESTADUAL</t>
  </si>
  <si>
    <t>VLR ST INTERNA</t>
  </si>
  <si>
    <t>CUSTO FINAL</t>
  </si>
  <si>
    <t>8471.60.59</t>
  </si>
  <si>
    <t>Kit tecl e mouse</t>
  </si>
  <si>
    <t>C/ST</t>
  </si>
  <si>
    <t>INTERNA</t>
  </si>
  <si>
    <t>NACIONAL</t>
  </si>
  <si>
    <t>SIM</t>
  </si>
  <si>
    <t>1200</t>
  </si>
  <si>
    <t>8471.90.19</t>
  </si>
  <si>
    <t>Leitor de Cartão</t>
  </si>
  <si>
    <t>EXTERNA</t>
  </si>
  <si>
    <t>IMPORTADA</t>
  </si>
  <si>
    <t>8473.30.42</t>
  </si>
  <si>
    <t>Memoria</t>
  </si>
  <si>
    <t>NÃO</t>
  </si>
  <si>
    <t>8471.60.53</t>
  </si>
  <si>
    <t>Mouse</t>
  </si>
  <si>
    <t>8504.40.40</t>
  </si>
  <si>
    <t>Nobreak</t>
  </si>
  <si>
    <t>8528.52.00</t>
  </si>
  <si>
    <t>Monitor</t>
  </si>
  <si>
    <t>8473.30.90</t>
  </si>
  <si>
    <t>SSD</t>
  </si>
  <si>
    <t>8507.80.00</t>
  </si>
  <si>
    <t>Bateria</t>
  </si>
  <si>
    <t>8504.40.10</t>
  </si>
  <si>
    <t>8544.42.00</t>
  </si>
  <si>
    <t>Cabos (de força)</t>
  </si>
  <si>
    <t>8518.21.00</t>
  </si>
  <si>
    <t>Caixa de Som</t>
  </si>
  <si>
    <t>8523.51.10</t>
  </si>
  <si>
    <t>Cartão Memoria</t>
  </si>
  <si>
    <t>8443.99.23</t>
  </si>
  <si>
    <t>Cartuchos/ Toner</t>
  </si>
  <si>
    <t>8443.99.33</t>
  </si>
  <si>
    <t>8517.13.00</t>
  </si>
  <si>
    <t>Celular</t>
  </si>
  <si>
    <t>8536.30.90</t>
  </si>
  <si>
    <t xml:space="preserve">Filtro de linha </t>
  </si>
  <si>
    <t>8504.40.21</t>
  </si>
  <si>
    <t>Fonte Note/desk</t>
  </si>
  <si>
    <t>8504.40.90</t>
  </si>
  <si>
    <t>Fonte CFTV</t>
  </si>
  <si>
    <t>8504.32.11</t>
  </si>
  <si>
    <t xml:space="preserve">Autotransformador </t>
  </si>
  <si>
    <t>8504.31.99</t>
  </si>
  <si>
    <t>8471.70.10</t>
  </si>
  <si>
    <t>HD</t>
  </si>
  <si>
    <t>8518.30.00</t>
  </si>
  <si>
    <t>Headset</t>
  </si>
  <si>
    <t>8443.31.11</t>
  </si>
  <si>
    <t xml:space="preserve">Impressoras </t>
  </si>
  <si>
    <t>8443.31.14</t>
  </si>
  <si>
    <t>8518.10.90</t>
  </si>
  <si>
    <t>Microfones</t>
  </si>
  <si>
    <t>8517.62.54</t>
  </si>
  <si>
    <t>Mini Hub</t>
  </si>
  <si>
    <t>8517.62.77</t>
  </si>
  <si>
    <t>Access Point</t>
  </si>
  <si>
    <t>8536.xx</t>
  </si>
  <si>
    <t>Adaptadores/conectores</t>
  </si>
  <si>
    <t>8521.90.90</t>
  </si>
  <si>
    <t>Aparelho DVD</t>
  </si>
  <si>
    <t>8504.31.19</t>
  </si>
  <si>
    <t>8504.31.91</t>
  </si>
  <si>
    <t>8504.3 Demais NCM's do grupo</t>
  </si>
  <si>
    <t>8516.71.00</t>
  </si>
  <si>
    <t>Cafeteira</t>
  </si>
  <si>
    <t>8525.81.00</t>
  </si>
  <si>
    <t>Camera Digital</t>
  </si>
  <si>
    <t>8517.79.00</t>
  </si>
  <si>
    <t>Cisco</t>
  </si>
  <si>
    <t>8471.50.10</t>
  </si>
  <si>
    <t>Computador</t>
  </si>
  <si>
    <t>8517.62.94</t>
  </si>
  <si>
    <t>Conversor de Midia</t>
  </si>
  <si>
    <t>9032.89.11</t>
  </si>
  <si>
    <t>Estabilizador</t>
  </si>
  <si>
    <t>8473.30.11</t>
  </si>
  <si>
    <t>Gabinete</t>
  </si>
  <si>
    <t>8471.70.20</t>
  </si>
  <si>
    <t>Gravador DVD</t>
  </si>
  <si>
    <t>8443.32.99</t>
  </si>
  <si>
    <t>8443.32.33</t>
  </si>
  <si>
    <t>8471.90.12</t>
  </si>
  <si>
    <t>Leitor de cod.barras</t>
  </si>
  <si>
    <t>4202.92.00</t>
  </si>
  <si>
    <t>Mochila/mala/capa</t>
  </si>
  <si>
    <t>4202.99.00</t>
  </si>
  <si>
    <t>8471.30.19</t>
  </si>
  <si>
    <t>Notebook</t>
  </si>
  <si>
    <t>8473.30.41</t>
  </si>
  <si>
    <t>Placa Mãe</t>
  </si>
  <si>
    <t>8528.69.10</t>
  </si>
  <si>
    <t>Projetor</t>
  </si>
  <si>
    <t>8517.62.41</t>
  </si>
  <si>
    <t>Roteador</t>
  </si>
  <si>
    <t>8517.62.49</t>
  </si>
  <si>
    <t>8471.90.14</t>
  </si>
  <si>
    <t>Scanner</t>
  </si>
  <si>
    <t>8414.59.90</t>
  </si>
  <si>
    <t>Suporte p/ Notebook com USB e Ventilador</t>
  </si>
  <si>
    <t>8517.62.39</t>
  </si>
  <si>
    <t>Switch</t>
  </si>
  <si>
    <t>8471.30.12</t>
  </si>
  <si>
    <t>Tablet</t>
  </si>
  <si>
    <t>8471.60.52</t>
  </si>
  <si>
    <t>Teclado</t>
  </si>
  <si>
    <t>8517.18.30</t>
  </si>
  <si>
    <t>Telefone</t>
  </si>
  <si>
    <t>8517.11.00</t>
  </si>
  <si>
    <t>Telefone S/ Fio</t>
  </si>
  <si>
    <t>8528.72.00</t>
  </si>
  <si>
    <t>TV LCD/Plasma/outros</t>
  </si>
  <si>
    <t>8415.10.11</t>
  </si>
  <si>
    <t>Ar Condicionado</t>
  </si>
  <si>
    <t>4802.56.92</t>
  </si>
  <si>
    <t>PAPEL A4</t>
  </si>
  <si>
    <t>9405.29.00</t>
  </si>
  <si>
    <t>LUMINARIA</t>
  </si>
  <si>
    <t>AQUISIÇÃO</t>
  </si>
  <si>
    <t>ORIGEM</t>
  </si>
  <si>
    <t>Origem Importada (%)</t>
  </si>
  <si>
    <t>Origem Nacional (%)</t>
  </si>
  <si>
    <t>Origem RJ (%)</t>
  </si>
  <si>
    <t>S/ST</t>
  </si>
  <si>
    <t>8504.40.21-C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</si>
</sst>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rgb="FF1111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Protection="1">
      <protection locked="0"/>
    </xf>
    <xf numFmtId="4" fontId="5" fillId="0" borderId="1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 applyProtection="1">
      <alignment horizontal="center"/>
      <protection locked="0"/>
    </xf>
    <xf numFmtId="164" fontId="0" fillId="0" borderId="1" xfId="0" applyNumberFormat="1" applyBorder="1"/>
    <xf numFmtId="4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horizontal="center" wrapText="1"/>
    </xf>
    <xf numFmtId="4" fontId="5" fillId="0" borderId="2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/>
    </xf>
    <xf numFmtId="4" fontId="5" fillId="0" borderId="1" xfId="1" applyNumberFormat="1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3" fontId="5" fillId="0" borderId="1" xfId="0" applyNumberFormat="1" applyFont="1" applyBorder="1"/>
    <xf numFmtId="0" fontId="6" fillId="0" borderId="1" xfId="0" applyFont="1" applyBorder="1"/>
    <xf numFmtId="4" fontId="6" fillId="0" borderId="2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9" fillId="0" borderId="0" xfId="2" applyNumberFormat="1" applyFont="1"/>
    <xf numFmtId="0" fontId="0" fillId="0" borderId="1" xfId="0" applyBorder="1" applyAlignment="1" applyProtection="1">
      <alignment vertical="center"/>
      <protection locked="0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2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2"/>
  <sheetViews>
    <sheetView zoomScale="175" zoomScaleNormal="175" workbookViewId="0">
      <selection activeCell="J8" sqref="J8"/>
    </sheetView>
  </sheetViews>
  <sheetFormatPr defaultRowHeight="15" x14ac:dyDescent="0.25"/>
  <cols>
    <col min="1" max="1" width="10" customWidth="1"/>
    <col min="2" max="2" width="38" bestFit="1" customWidth="1"/>
    <col min="3" max="3" width="6.28515625" bestFit="1" customWidth="1"/>
    <col min="4" max="4" width="18.28515625" customWidth="1"/>
    <col min="5" max="5" width="12.7109375" customWidth="1"/>
    <col min="7" max="7" width="13" hidden="1" customWidth="1"/>
    <col min="8" max="8" width="9" hidden="1" customWidth="1"/>
    <col min="9" max="9" width="7.7109375" hidden="1" customWidth="1"/>
    <col min="10" max="10" width="12.140625" customWidth="1"/>
    <col min="11" max="11" width="8.85546875" hidden="1" customWidth="1"/>
    <col min="12" max="12" width="9" hidden="1" customWidth="1"/>
    <col min="13" max="13" width="11.85546875" customWidth="1"/>
  </cols>
  <sheetData>
    <row r="1" spans="1:13" ht="38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idden="1" x14ac:dyDescent="0.25">
      <c r="A2" s="5" t="s">
        <v>13</v>
      </c>
      <c r="B2" s="5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8">
        <v>32.21</v>
      </c>
      <c r="H2" s="9">
        <v>21.19</v>
      </c>
      <c r="I2" s="10">
        <v>12.5</v>
      </c>
      <c r="J2" s="11" t="s">
        <v>19</v>
      </c>
      <c r="K2" s="12">
        <f t="shared" ref="K2:K33" si="0">IF(AND(C2="C/ST",F2="NÃO", D2="EXTERNA"),IF(E2="IMPORTADA",(J2*G2%),(J2*H2%)),0)</f>
        <v>0</v>
      </c>
      <c r="L2" s="12">
        <f t="shared" ref="L2:L33" si="1">IF(AND(C2="C/ST",F2="NÃO", D2="INTERNA"),(J2*I2%),0)</f>
        <v>0</v>
      </c>
      <c r="M2" s="12">
        <f t="shared" ref="M2:M33" si="2">J2+K2+L2</f>
        <v>1200</v>
      </c>
    </row>
    <row r="3" spans="1:13" hidden="1" x14ac:dyDescent="0.25">
      <c r="A3" s="5" t="s">
        <v>20</v>
      </c>
      <c r="B3" s="5" t="s">
        <v>21</v>
      </c>
      <c r="C3" s="6" t="s">
        <v>15</v>
      </c>
      <c r="D3" s="7" t="s">
        <v>22</v>
      </c>
      <c r="E3" s="7" t="s">
        <v>23</v>
      </c>
      <c r="F3" s="7" t="s">
        <v>18</v>
      </c>
      <c r="G3" s="8">
        <v>21.37</v>
      </c>
      <c r="H3" s="9">
        <v>11.25</v>
      </c>
      <c r="I3" s="13">
        <v>7.125</v>
      </c>
      <c r="J3" s="11"/>
      <c r="K3" s="12">
        <f t="shared" si="0"/>
        <v>0</v>
      </c>
      <c r="L3" s="12">
        <f t="shared" si="1"/>
        <v>0</v>
      </c>
      <c r="M3" s="12">
        <f t="shared" si="2"/>
        <v>0</v>
      </c>
    </row>
    <row r="4" spans="1:13" hidden="1" x14ac:dyDescent="0.25">
      <c r="A4" s="5" t="s">
        <v>24</v>
      </c>
      <c r="B4" s="5" t="s">
        <v>25</v>
      </c>
      <c r="C4" s="6" t="s">
        <v>15</v>
      </c>
      <c r="D4" s="7" t="s">
        <v>22</v>
      </c>
      <c r="E4" s="7" t="s">
        <v>17</v>
      </c>
      <c r="F4" s="7" t="s">
        <v>26</v>
      </c>
      <c r="G4" s="8">
        <v>19.84</v>
      </c>
      <c r="H4" s="9">
        <v>9.86</v>
      </c>
      <c r="I4" s="13">
        <v>6.43</v>
      </c>
      <c r="J4" s="11"/>
      <c r="K4" s="12">
        <f t="shared" si="0"/>
        <v>0</v>
      </c>
      <c r="L4" s="12">
        <f t="shared" si="1"/>
        <v>0</v>
      </c>
      <c r="M4" s="12">
        <f t="shared" si="2"/>
        <v>0</v>
      </c>
    </row>
    <row r="5" spans="1:13" hidden="1" x14ac:dyDescent="0.25">
      <c r="A5" s="5" t="s">
        <v>27</v>
      </c>
      <c r="B5" s="5" t="s">
        <v>28</v>
      </c>
      <c r="C5" s="6" t="s">
        <v>15</v>
      </c>
      <c r="D5" s="7" t="s">
        <v>22</v>
      </c>
      <c r="E5" s="7" t="s">
        <v>17</v>
      </c>
      <c r="F5" s="7" t="s">
        <v>18</v>
      </c>
      <c r="G5" s="8">
        <v>16.899999999999999</v>
      </c>
      <c r="H5" s="9">
        <v>7.16</v>
      </c>
      <c r="I5" s="14">
        <v>5.08</v>
      </c>
      <c r="J5" s="11"/>
      <c r="K5" s="12">
        <f t="shared" si="0"/>
        <v>0</v>
      </c>
      <c r="L5" s="12">
        <f t="shared" si="1"/>
        <v>0</v>
      </c>
      <c r="M5" s="12">
        <f t="shared" si="2"/>
        <v>0</v>
      </c>
    </row>
    <row r="6" spans="1:13" hidden="1" x14ac:dyDescent="0.25">
      <c r="A6" s="5" t="s">
        <v>29</v>
      </c>
      <c r="B6" s="5" t="s">
        <v>30</v>
      </c>
      <c r="C6" s="6" t="s">
        <v>15</v>
      </c>
      <c r="D6" s="7" t="s">
        <v>22</v>
      </c>
      <c r="E6" s="7" t="s">
        <v>17</v>
      </c>
      <c r="F6" s="7" t="s">
        <v>26</v>
      </c>
      <c r="G6" s="8">
        <v>32.26</v>
      </c>
      <c r="H6" s="9">
        <v>21.24</v>
      </c>
      <c r="I6" s="13">
        <v>12.12</v>
      </c>
      <c r="J6" s="11"/>
      <c r="K6" s="12">
        <f t="shared" si="0"/>
        <v>0</v>
      </c>
      <c r="L6" s="12">
        <f t="shared" si="1"/>
        <v>0</v>
      </c>
      <c r="M6" s="12">
        <f t="shared" si="2"/>
        <v>0</v>
      </c>
    </row>
    <row r="7" spans="1:13" hidden="1" x14ac:dyDescent="0.25">
      <c r="A7" s="5" t="s">
        <v>31</v>
      </c>
      <c r="B7" s="5" t="s">
        <v>32</v>
      </c>
      <c r="C7" s="6" t="s">
        <v>15</v>
      </c>
      <c r="D7" s="7" t="s">
        <v>22</v>
      </c>
      <c r="E7" s="7" t="s">
        <v>17</v>
      </c>
      <c r="F7" s="7" t="s">
        <v>26</v>
      </c>
      <c r="G7" s="8">
        <v>31.76</v>
      </c>
      <c r="H7" s="9">
        <v>20.78</v>
      </c>
      <c r="I7" s="13">
        <v>11.89</v>
      </c>
      <c r="J7" s="11"/>
      <c r="K7" s="12">
        <f t="shared" si="0"/>
        <v>0</v>
      </c>
      <c r="L7" s="12">
        <f t="shared" si="1"/>
        <v>0</v>
      </c>
      <c r="M7" s="12">
        <f t="shared" si="2"/>
        <v>0</v>
      </c>
    </row>
    <row r="8" spans="1:13" x14ac:dyDescent="0.25">
      <c r="A8" s="5" t="s">
        <v>33</v>
      </c>
      <c r="B8" s="5" t="s">
        <v>34</v>
      </c>
      <c r="C8" s="6" t="s">
        <v>15</v>
      </c>
      <c r="D8" s="7" t="s">
        <v>22</v>
      </c>
      <c r="E8" s="7" t="s">
        <v>17</v>
      </c>
      <c r="F8" s="7" t="s">
        <v>26</v>
      </c>
      <c r="G8" s="8">
        <v>37.31</v>
      </c>
      <c r="H8" s="9">
        <v>25.87</v>
      </c>
      <c r="I8" s="13">
        <v>14.435</v>
      </c>
      <c r="J8" s="11"/>
      <c r="K8" s="12">
        <f t="shared" si="0"/>
        <v>0</v>
      </c>
      <c r="L8" s="12">
        <f t="shared" si="1"/>
        <v>0</v>
      </c>
      <c r="M8" s="12">
        <f t="shared" si="2"/>
        <v>0</v>
      </c>
    </row>
    <row r="9" spans="1:13" hidden="1" x14ac:dyDescent="0.25">
      <c r="A9" s="5" t="s">
        <v>35</v>
      </c>
      <c r="B9" s="5" t="s">
        <v>36</v>
      </c>
      <c r="C9" s="6" t="s">
        <v>15</v>
      </c>
      <c r="D9" s="7" t="s">
        <v>22</v>
      </c>
      <c r="E9" s="7" t="s">
        <v>17</v>
      </c>
      <c r="F9" s="7" t="s">
        <v>26</v>
      </c>
      <c r="G9" s="8">
        <v>33.909999999999997</v>
      </c>
      <c r="H9" s="9">
        <v>22.75</v>
      </c>
      <c r="I9" s="13">
        <v>12.875</v>
      </c>
      <c r="J9" s="11"/>
      <c r="K9" s="12">
        <f t="shared" si="0"/>
        <v>0</v>
      </c>
      <c r="L9" s="12">
        <f t="shared" si="1"/>
        <v>0</v>
      </c>
      <c r="M9" s="12">
        <f t="shared" si="2"/>
        <v>0</v>
      </c>
    </row>
    <row r="10" spans="1:13" hidden="1" x14ac:dyDescent="0.25">
      <c r="A10" s="5" t="s">
        <v>37</v>
      </c>
      <c r="B10" s="5" t="s">
        <v>36</v>
      </c>
      <c r="C10" s="6" t="s">
        <v>15</v>
      </c>
      <c r="D10" s="7" t="s">
        <v>22</v>
      </c>
      <c r="E10" s="7" t="s">
        <v>17</v>
      </c>
      <c r="F10" s="7" t="s">
        <v>26</v>
      </c>
      <c r="G10" s="8">
        <v>31.03</v>
      </c>
      <c r="H10" s="9">
        <v>20.11</v>
      </c>
      <c r="I10" s="13">
        <v>11.555</v>
      </c>
      <c r="J10" s="11"/>
      <c r="K10" s="12">
        <f t="shared" si="0"/>
        <v>0</v>
      </c>
      <c r="L10" s="12">
        <f t="shared" si="1"/>
        <v>0</v>
      </c>
      <c r="M10" s="12">
        <f t="shared" si="2"/>
        <v>0</v>
      </c>
    </row>
    <row r="11" spans="1:13" hidden="1" x14ac:dyDescent="0.25">
      <c r="A11" s="5" t="s">
        <v>38</v>
      </c>
      <c r="B11" s="5" t="s">
        <v>39</v>
      </c>
      <c r="C11" s="6" t="s">
        <v>15</v>
      </c>
      <c r="D11" s="7" t="s">
        <v>22</v>
      </c>
      <c r="E11" s="7" t="s">
        <v>17</v>
      </c>
      <c r="F11" s="7" t="s">
        <v>26</v>
      </c>
      <c r="G11" s="8">
        <v>34.18</v>
      </c>
      <c r="H11" s="9">
        <v>23</v>
      </c>
      <c r="I11" s="13">
        <v>13</v>
      </c>
      <c r="J11" s="11"/>
      <c r="K11" s="12">
        <f t="shared" si="0"/>
        <v>0</v>
      </c>
      <c r="L11" s="12">
        <f t="shared" si="1"/>
        <v>0</v>
      </c>
      <c r="M11" s="12">
        <f t="shared" si="2"/>
        <v>0</v>
      </c>
    </row>
    <row r="12" spans="1:13" hidden="1" x14ac:dyDescent="0.25">
      <c r="A12" s="5" t="s">
        <v>40</v>
      </c>
      <c r="B12" s="5" t="s">
        <v>41</v>
      </c>
      <c r="C12" s="6" t="s">
        <v>15</v>
      </c>
      <c r="D12" s="7" t="s">
        <v>22</v>
      </c>
      <c r="E12" s="7" t="s">
        <v>17</v>
      </c>
      <c r="F12" s="7" t="s">
        <v>26</v>
      </c>
      <c r="G12" s="8">
        <v>38.85</v>
      </c>
      <c r="H12" s="9">
        <v>27.28</v>
      </c>
      <c r="I12" s="13">
        <v>15.14</v>
      </c>
      <c r="J12" s="11"/>
      <c r="K12" s="12">
        <f t="shared" si="0"/>
        <v>0</v>
      </c>
      <c r="L12" s="12">
        <f t="shared" si="1"/>
        <v>0</v>
      </c>
      <c r="M12" s="12">
        <f t="shared" si="2"/>
        <v>0</v>
      </c>
    </row>
    <row r="13" spans="1:13" hidden="1" x14ac:dyDescent="0.25">
      <c r="A13" s="5" t="s">
        <v>42</v>
      </c>
      <c r="B13" s="5" t="s">
        <v>43</v>
      </c>
      <c r="C13" s="6" t="s">
        <v>15</v>
      </c>
      <c r="D13" s="7" t="s">
        <v>16</v>
      </c>
      <c r="E13" s="7" t="s">
        <v>17</v>
      </c>
      <c r="F13" s="7" t="s">
        <v>26</v>
      </c>
      <c r="G13" s="8">
        <v>37.33</v>
      </c>
      <c r="H13" s="9">
        <v>25.89</v>
      </c>
      <c r="I13" s="13">
        <v>14.445</v>
      </c>
      <c r="J13" s="11"/>
      <c r="K13" s="12">
        <f t="shared" si="0"/>
        <v>0</v>
      </c>
      <c r="L13" s="12">
        <f t="shared" si="1"/>
        <v>0</v>
      </c>
      <c r="M13" s="12">
        <f t="shared" si="2"/>
        <v>0</v>
      </c>
    </row>
    <row r="14" spans="1:13" hidden="1" x14ac:dyDescent="0.25">
      <c r="A14" s="5" t="s">
        <v>44</v>
      </c>
      <c r="B14" s="5" t="s">
        <v>45</v>
      </c>
      <c r="C14" s="6" t="s">
        <v>15</v>
      </c>
      <c r="D14" s="7" t="s">
        <v>22</v>
      </c>
      <c r="E14" s="7" t="s">
        <v>17</v>
      </c>
      <c r="F14" s="7" t="s">
        <v>26</v>
      </c>
      <c r="G14" s="8">
        <v>33.03</v>
      </c>
      <c r="H14" s="9">
        <v>21.94</v>
      </c>
      <c r="I14" s="10">
        <v>12.47</v>
      </c>
      <c r="J14" s="11"/>
      <c r="K14" s="12">
        <f t="shared" si="0"/>
        <v>0</v>
      </c>
      <c r="L14" s="12">
        <f t="shared" si="1"/>
        <v>0</v>
      </c>
      <c r="M14" s="12">
        <f t="shared" si="2"/>
        <v>0</v>
      </c>
    </row>
    <row r="15" spans="1:13" hidden="1" x14ac:dyDescent="0.25">
      <c r="A15" s="5" t="s">
        <v>46</v>
      </c>
      <c r="B15" s="5" t="s">
        <v>45</v>
      </c>
      <c r="C15" s="6" t="s">
        <v>15</v>
      </c>
      <c r="D15" s="7" t="s">
        <v>22</v>
      </c>
      <c r="E15" s="7" t="s">
        <v>17</v>
      </c>
      <c r="F15" s="7" t="s">
        <v>26</v>
      </c>
      <c r="G15" s="8">
        <v>33.03</v>
      </c>
      <c r="H15" s="9">
        <v>21.94</v>
      </c>
      <c r="I15" s="13">
        <v>12.47</v>
      </c>
      <c r="J15" s="11"/>
      <c r="K15" s="12">
        <f t="shared" si="0"/>
        <v>0</v>
      </c>
      <c r="L15" s="12">
        <f t="shared" si="1"/>
        <v>0</v>
      </c>
      <c r="M15" s="12">
        <f t="shared" si="2"/>
        <v>0</v>
      </c>
    </row>
    <row r="16" spans="1:13" hidden="1" x14ac:dyDescent="0.25">
      <c r="A16" s="5" t="s">
        <v>47</v>
      </c>
      <c r="B16" s="5" t="s">
        <v>48</v>
      </c>
      <c r="C16" s="6" t="s">
        <v>15</v>
      </c>
      <c r="D16" s="7" t="s">
        <v>22</v>
      </c>
      <c r="E16" s="7" t="s">
        <v>17</v>
      </c>
      <c r="F16" s="7" t="s">
        <v>26</v>
      </c>
      <c r="G16" s="8">
        <v>22.77</v>
      </c>
      <c r="H16" s="9">
        <v>12.54</v>
      </c>
      <c r="I16" s="13">
        <v>7.77</v>
      </c>
      <c r="J16" s="11"/>
      <c r="K16" s="12">
        <f t="shared" si="0"/>
        <v>0</v>
      </c>
      <c r="L16" s="12">
        <f t="shared" si="1"/>
        <v>0</v>
      </c>
      <c r="M16" s="12">
        <f t="shared" si="2"/>
        <v>0</v>
      </c>
    </row>
    <row r="17" spans="1:13" hidden="1" x14ac:dyDescent="0.25">
      <c r="A17" s="5" t="s">
        <v>49</v>
      </c>
      <c r="B17" s="5" t="s">
        <v>50</v>
      </c>
      <c r="C17" s="6" t="s">
        <v>15</v>
      </c>
      <c r="D17" s="7" t="s">
        <v>22</v>
      </c>
      <c r="E17" s="7" t="s">
        <v>17</v>
      </c>
      <c r="F17" s="7" t="s">
        <v>26</v>
      </c>
      <c r="G17" s="8">
        <v>34.72</v>
      </c>
      <c r="H17" s="9">
        <v>23.49</v>
      </c>
      <c r="I17" s="13">
        <v>13.244999999999999</v>
      </c>
      <c r="J17" s="11"/>
      <c r="K17" s="12">
        <f t="shared" si="0"/>
        <v>0</v>
      </c>
      <c r="L17" s="12">
        <f t="shared" si="1"/>
        <v>0</v>
      </c>
      <c r="M17" s="12">
        <f t="shared" si="2"/>
        <v>0</v>
      </c>
    </row>
    <row r="18" spans="1:13" hidden="1" x14ac:dyDescent="0.25">
      <c r="A18" s="15" t="s">
        <v>51</v>
      </c>
      <c r="B18" s="16" t="s">
        <v>52</v>
      </c>
      <c r="C18" s="6" t="s">
        <v>15</v>
      </c>
      <c r="D18" s="7" t="s">
        <v>22</v>
      </c>
      <c r="E18" s="7" t="s">
        <v>17</v>
      </c>
      <c r="F18" s="7" t="s">
        <v>26</v>
      </c>
      <c r="G18" s="17">
        <v>36.619999999999997</v>
      </c>
      <c r="H18" s="18">
        <v>25.23</v>
      </c>
      <c r="I18" s="13">
        <v>14.115</v>
      </c>
      <c r="J18" s="11"/>
      <c r="K18" s="12">
        <f t="shared" si="0"/>
        <v>0</v>
      </c>
      <c r="L18" s="12">
        <f t="shared" si="1"/>
        <v>0</v>
      </c>
      <c r="M18" s="12">
        <f t="shared" si="2"/>
        <v>0</v>
      </c>
    </row>
    <row r="19" spans="1:13" hidden="1" x14ac:dyDescent="0.25">
      <c r="A19" s="19" t="s">
        <v>53</v>
      </c>
      <c r="B19" s="16" t="s">
        <v>54</v>
      </c>
      <c r="C19" s="6" t="s">
        <v>15</v>
      </c>
      <c r="D19" s="7" t="s">
        <v>22</v>
      </c>
      <c r="E19" s="7" t="s">
        <v>17</v>
      </c>
      <c r="F19" s="7" t="s">
        <v>26</v>
      </c>
      <c r="G19" s="17">
        <v>36.619999999999997</v>
      </c>
      <c r="H19" s="18">
        <v>25.23</v>
      </c>
      <c r="I19" s="13">
        <v>14.115</v>
      </c>
      <c r="J19" s="11"/>
      <c r="K19" s="12">
        <f t="shared" si="0"/>
        <v>0</v>
      </c>
      <c r="L19" s="12">
        <f t="shared" si="1"/>
        <v>0</v>
      </c>
      <c r="M19" s="12">
        <f t="shared" si="2"/>
        <v>0</v>
      </c>
    </row>
    <row r="20" spans="1:13" hidden="1" x14ac:dyDescent="0.25">
      <c r="A20" s="15" t="s">
        <v>55</v>
      </c>
      <c r="B20" s="16" t="s">
        <v>56</v>
      </c>
      <c r="C20" s="6" t="s">
        <v>15</v>
      </c>
      <c r="D20" s="7" t="s">
        <v>22</v>
      </c>
      <c r="E20" s="7" t="s">
        <v>17</v>
      </c>
      <c r="F20" s="7" t="s">
        <v>26</v>
      </c>
      <c r="G20" s="17">
        <v>36.619999999999997</v>
      </c>
      <c r="H20" s="18">
        <v>25.23</v>
      </c>
      <c r="I20" s="13">
        <v>14.115</v>
      </c>
      <c r="J20" s="11"/>
      <c r="K20" s="12">
        <f t="shared" si="0"/>
        <v>0</v>
      </c>
      <c r="L20" s="12">
        <f t="shared" si="1"/>
        <v>0</v>
      </c>
      <c r="M20" s="12">
        <f t="shared" si="2"/>
        <v>0</v>
      </c>
    </row>
    <row r="21" spans="1:13" hidden="1" x14ac:dyDescent="0.25">
      <c r="A21" s="15" t="s">
        <v>57</v>
      </c>
      <c r="B21" s="5" t="s">
        <v>56</v>
      </c>
      <c r="C21" s="6" t="s">
        <v>15</v>
      </c>
      <c r="D21" s="7" t="s">
        <v>22</v>
      </c>
      <c r="E21" s="7" t="s">
        <v>17</v>
      </c>
      <c r="F21" s="7" t="s">
        <v>26</v>
      </c>
      <c r="G21" s="17">
        <v>36.619999999999997</v>
      </c>
      <c r="H21" s="18">
        <v>25.23</v>
      </c>
      <c r="I21" s="13">
        <v>14.115</v>
      </c>
      <c r="J21" s="11"/>
      <c r="K21" s="12">
        <f t="shared" si="0"/>
        <v>0</v>
      </c>
      <c r="L21" s="12">
        <f t="shared" si="1"/>
        <v>0</v>
      </c>
      <c r="M21" s="12">
        <f t="shared" si="2"/>
        <v>0</v>
      </c>
    </row>
    <row r="22" spans="1:13" hidden="1" x14ac:dyDescent="0.25">
      <c r="A22" s="5" t="s">
        <v>58</v>
      </c>
      <c r="B22" s="5" t="s">
        <v>59</v>
      </c>
      <c r="C22" s="6" t="s">
        <v>15</v>
      </c>
      <c r="D22" s="7" t="s">
        <v>22</v>
      </c>
      <c r="E22" s="7" t="s">
        <v>17</v>
      </c>
      <c r="F22" s="7" t="s">
        <v>26</v>
      </c>
      <c r="G22" s="8">
        <v>39.9</v>
      </c>
      <c r="H22" s="9">
        <v>28.24</v>
      </c>
      <c r="I22" s="13">
        <v>15.62</v>
      </c>
      <c r="J22" s="11"/>
      <c r="K22" s="12">
        <f t="shared" si="0"/>
        <v>0</v>
      </c>
      <c r="L22" s="12">
        <f t="shared" si="1"/>
        <v>0</v>
      </c>
      <c r="M22" s="12">
        <f t="shared" si="2"/>
        <v>0</v>
      </c>
    </row>
    <row r="23" spans="1:13" hidden="1" x14ac:dyDescent="0.25">
      <c r="A23" s="5" t="s">
        <v>60</v>
      </c>
      <c r="B23" s="5" t="s">
        <v>61</v>
      </c>
      <c r="C23" s="6" t="s">
        <v>15</v>
      </c>
      <c r="D23" s="7" t="s">
        <v>22</v>
      </c>
      <c r="E23" s="7" t="s">
        <v>17</v>
      </c>
      <c r="F23" s="7" t="s">
        <v>26</v>
      </c>
      <c r="G23" s="8">
        <v>38.85</v>
      </c>
      <c r="H23" s="9">
        <v>27.28</v>
      </c>
      <c r="I23" s="13">
        <v>15.14</v>
      </c>
      <c r="J23" s="11"/>
      <c r="K23" s="12">
        <f t="shared" si="0"/>
        <v>0</v>
      </c>
      <c r="L23" s="12">
        <f t="shared" si="1"/>
        <v>0</v>
      </c>
      <c r="M23" s="12">
        <f t="shared" si="2"/>
        <v>0</v>
      </c>
    </row>
    <row r="24" spans="1:13" hidden="1" x14ac:dyDescent="0.25">
      <c r="A24" s="5" t="s">
        <v>62</v>
      </c>
      <c r="B24" s="5" t="s">
        <v>63</v>
      </c>
      <c r="C24" s="6" t="s">
        <v>15</v>
      </c>
      <c r="D24" s="7" t="s">
        <v>22</v>
      </c>
      <c r="E24" s="7" t="s">
        <v>17</v>
      </c>
      <c r="F24" s="7" t="s">
        <v>18</v>
      </c>
      <c r="G24" s="20">
        <v>29.49</v>
      </c>
      <c r="H24" s="9">
        <v>18.7</v>
      </c>
      <c r="I24" s="13">
        <v>10.85</v>
      </c>
      <c r="J24" s="11"/>
      <c r="K24" s="12">
        <f t="shared" si="0"/>
        <v>0</v>
      </c>
      <c r="L24" s="12">
        <f t="shared" si="1"/>
        <v>0</v>
      </c>
      <c r="M24" s="12">
        <f t="shared" si="2"/>
        <v>0</v>
      </c>
    </row>
    <row r="25" spans="1:13" hidden="1" x14ac:dyDescent="0.25">
      <c r="A25" s="5" t="s">
        <v>64</v>
      </c>
      <c r="B25" s="5" t="s">
        <v>63</v>
      </c>
      <c r="C25" s="6" t="s">
        <v>15</v>
      </c>
      <c r="D25" s="7" t="s">
        <v>22</v>
      </c>
      <c r="E25" s="7" t="s">
        <v>17</v>
      </c>
      <c r="F25" s="7" t="s">
        <v>26</v>
      </c>
      <c r="G25" s="20">
        <v>29.49</v>
      </c>
      <c r="H25" s="9">
        <v>18.7</v>
      </c>
      <c r="I25" s="13">
        <v>10.85</v>
      </c>
      <c r="J25" s="11"/>
      <c r="K25" s="12">
        <f t="shared" si="0"/>
        <v>0</v>
      </c>
      <c r="L25" s="12">
        <f t="shared" si="1"/>
        <v>0</v>
      </c>
      <c r="M25" s="12">
        <f t="shared" si="2"/>
        <v>0</v>
      </c>
    </row>
    <row r="26" spans="1:13" hidden="1" x14ac:dyDescent="0.25">
      <c r="A26" s="5" t="s">
        <v>65</v>
      </c>
      <c r="B26" s="5" t="s">
        <v>66</v>
      </c>
      <c r="C26" s="6" t="s">
        <v>15</v>
      </c>
      <c r="D26" s="7" t="s">
        <v>22</v>
      </c>
      <c r="E26" s="7" t="s">
        <v>17</v>
      </c>
      <c r="F26" s="7" t="s">
        <v>26</v>
      </c>
      <c r="G26" s="8">
        <v>38.85</v>
      </c>
      <c r="H26" s="9">
        <v>27.28</v>
      </c>
      <c r="I26" s="10">
        <v>15.14</v>
      </c>
      <c r="J26" s="11"/>
      <c r="K26" s="12">
        <f t="shared" si="0"/>
        <v>0</v>
      </c>
      <c r="L26" s="12">
        <f t="shared" si="1"/>
        <v>0</v>
      </c>
      <c r="M26" s="12">
        <f t="shared" si="2"/>
        <v>0</v>
      </c>
    </row>
    <row r="27" spans="1:13" hidden="1" x14ac:dyDescent="0.25">
      <c r="A27" s="5" t="s">
        <v>67</v>
      </c>
      <c r="B27" s="5" t="s">
        <v>68</v>
      </c>
      <c r="C27" s="6" t="s">
        <v>15</v>
      </c>
      <c r="D27" s="7" t="s">
        <v>22</v>
      </c>
      <c r="E27" s="7" t="s">
        <v>17</v>
      </c>
      <c r="F27" s="7" t="s">
        <v>26</v>
      </c>
      <c r="G27" s="8">
        <v>36.340000000000003</v>
      </c>
      <c r="H27" s="9">
        <v>24.98</v>
      </c>
      <c r="I27" s="13">
        <v>13.99</v>
      </c>
      <c r="J27" s="11"/>
      <c r="K27" s="12">
        <f t="shared" si="0"/>
        <v>0</v>
      </c>
      <c r="L27" s="12">
        <f t="shared" si="1"/>
        <v>0</v>
      </c>
      <c r="M27" s="12">
        <f t="shared" si="2"/>
        <v>0</v>
      </c>
    </row>
    <row r="28" spans="1:13" hidden="1" x14ac:dyDescent="0.25">
      <c r="A28" s="5" t="s">
        <v>69</v>
      </c>
      <c r="B28" s="5" t="s">
        <v>70</v>
      </c>
      <c r="C28" s="6" t="s">
        <v>15</v>
      </c>
      <c r="D28" s="7" t="s">
        <v>22</v>
      </c>
      <c r="E28" s="7" t="s">
        <v>17</v>
      </c>
      <c r="F28" s="7" t="s">
        <v>26</v>
      </c>
      <c r="G28" s="8"/>
      <c r="H28" s="9"/>
      <c r="I28" s="13">
        <v>1.5</v>
      </c>
      <c r="J28" s="11"/>
      <c r="K28" s="12">
        <f t="shared" si="0"/>
        <v>0</v>
      </c>
      <c r="L28" s="12">
        <f t="shared" si="1"/>
        <v>0</v>
      </c>
      <c r="M28" s="12">
        <f t="shared" si="2"/>
        <v>0</v>
      </c>
    </row>
    <row r="29" spans="1:13" hidden="1" x14ac:dyDescent="0.25">
      <c r="A29" s="21" t="s">
        <v>71</v>
      </c>
      <c r="B29" s="5" t="s">
        <v>72</v>
      </c>
      <c r="C29" s="6" t="s">
        <v>15</v>
      </c>
      <c r="D29" s="7" t="s">
        <v>22</v>
      </c>
      <c r="E29" s="7" t="s">
        <v>17</v>
      </c>
      <c r="F29" s="7" t="s">
        <v>26</v>
      </c>
      <c r="G29" s="8">
        <v>34.72</v>
      </c>
      <c r="H29" s="9">
        <v>23.49</v>
      </c>
      <c r="I29" s="13">
        <v>13.244999999999999</v>
      </c>
      <c r="J29" s="11"/>
      <c r="K29" s="12">
        <f t="shared" si="0"/>
        <v>0</v>
      </c>
      <c r="L29" s="12">
        <f t="shared" si="1"/>
        <v>0</v>
      </c>
      <c r="M29" s="12">
        <f t="shared" si="2"/>
        <v>0</v>
      </c>
    </row>
    <row r="30" spans="1:13" hidden="1" x14ac:dyDescent="0.25">
      <c r="A30" s="5" t="s">
        <v>73</v>
      </c>
      <c r="B30" s="5" t="s">
        <v>74</v>
      </c>
      <c r="C30" s="6" t="s">
        <v>15</v>
      </c>
      <c r="D30" s="7" t="s">
        <v>22</v>
      </c>
      <c r="E30" s="7" t="s">
        <v>17</v>
      </c>
      <c r="F30" s="7" t="s">
        <v>26</v>
      </c>
      <c r="G30" s="8">
        <v>31.25</v>
      </c>
      <c r="H30" s="9">
        <v>20.309999999999999</v>
      </c>
      <c r="I30" s="13">
        <v>11.654999999999999</v>
      </c>
      <c r="J30" s="11"/>
      <c r="K30" s="12">
        <f t="shared" si="0"/>
        <v>0</v>
      </c>
      <c r="L30" s="12">
        <f t="shared" si="1"/>
        <v>0</v>
      </c>
      <c r="M30" s="12">
        <f t="shared" si="2"/>
        <v>0</v>
      </c>
    </row>
    <row r="31" spans="1:13" ht="26.25" hidden="1" customHeight="1" x14ac:dyDescent="0.25">
      <c r="A31" s="22" t="s">
        <v>75</v>
      </c>
      <c r="B31" s="5" t="s">
        <v>56</v>
      </c>
      <c r="C31" s="6" t="s">
        <v>15</v>
      </c>
      <c r="D31" s="7" t="s">
        <v>22</v>
      </c>
      <c r="E31" s="7" t="s">
        <v>17</v>
      </c>
      <c r="F31" s="7" t="s">
        <v>26</v>
      </c>
      <c r="G31" s="17">
        <v>36.619999999999997</v>
      </c>
      <c r="H31" s="18">
        <v>25.23</v>
      </c>
      <c r="I31" s="13">
        <v>14.115</v>
      </c>
      <c r="J31" s="11"/>
      <c r="K31" s="12">
        <f t="shared" si="0"/>
        <v>0</v>
      </c>
      <c r="L31" s="12">
        <f t="shared" si="1"/>
        <v>0</v>
      </c>
      <c r="M31" s="12">
        <f t="shared" si="2"/>
        <v>0</v>
      </c>
    </row>
    <row r="32" spans="1:13" ht="26.25" hidden="1" customHeight="1" x14ac:dyDescent="0.25">
      <c r="A32" s="22" t="s">
        <v>76</v>
      </c>
      <c r="B32" s="5" t="s">
        <v>56</v>
      </c>
      <c r="C32" s="6" t="s">
        <v>15</v>
      </c>
      <c r="D32" s="7" t="s">
        <v>22</v>
      </c>
      <c r="E32" s="7" t="s">
        <v>17</v>
      </c>
      <c r="F32" s="7" t="s">
        <v>26</v>
      </c>
      <c r="G32" s="17">
        <v>36.619999999999997</v>
      </c>
      <c r="H32" s="18">
        <v>25.23</v>
      </c>
      <c r="I32" s="13">
        <v>14.115</v>
      </c>
      <c r="J32" s="11"/>
      <c r="K32" s="12">
        <f t="shared" si="0"/>
        <v>0</v>
      </c>
      <c r="L32" s="12">
        <f t="shared" si="1"/>
        <v>0</v>
      </c>
      <c r="M32" s="12">
        <f t="shared" si="2"/>
        <v>0</v>
      </c>
    </row>
    <row r="33" spans="1:13" ht="51.75" hidden="1" customHeight="1" x14ac:dyDescent="0.25">
      <c r="A33" s="23" t="s">
        <v>77</v>
      </c>
      <c r="B33" s="5" t="s">
        <v>56</v>
      </c>
      <c r="C33" s="6" t="s">
        <v>15</v>
      </c>
      <c r="D33" s="7" t="s">
        <v>22</v>
      </c>
      <c r="E33" s="7" t="s">
        <v>17</v>
      </c>
      <c r="F33" s="7" t="s">
        <v>26</v>
      </c>
      <c r="G33" s="17">
        <v>36.619999999999997</v>
      </c>
      <c r="H33" s="18">
        <v>25.23</v>
      </c>
      <c r="I33" s="13">
        <v>14.115</v>
      </c>
      <c r="J33" s="11"/>
      <c r="K33" s="12">
        <f t="shared" si="0"/>
        <v>0</v>
      </c>
      <c r="L33" s="12">
        <f t="shared" si="1"/>
        <v>0</v>
      </c>
      <c r="M33" s="12">
        <f t="shared" si="2"/>
        <v>0</v>
      </c>
    </row>
    <row r="34" spans="1:13" hidden="1" x14ac:dyDescent="0.25">
      <c r="A34" s="5" t="s">
        <v>78</v>
      </c>
      <c r="B34" s="5" t="s">
        <v>79</v>
      </c>
      <c r="C34" s="6" t="s">
        <v>15</v>
      </c>
      <c r="D34" s="7" t="s">
        <v>22</v>
      </c>
      <c r="E34" s="7" t="s">
        <v>17</v>
      </c>
      <c r="F34" s="7" t="s">
        <v>26</v>
      </c>
      <c r="G34" s="8">
        <v>37.25</v>
      </c>
      <c r="H34" s="9">
        <v>25.81</v>
      </c>
      <c r="I34" s="13">
        <v>14.404999999999999</v>
      </c>
      <c r="J34" s="11"/>
      <c r="K34" s="12">
        <f t="shared" ref="K34:K62" si="3">IF(AND(C34="C/ST",F34="NÃO", D34="EXTERNA"),IF(E34="IMPORTADA",(J34*G34%),(J34*H34%)),0)</f>
        <v>0</v>
      </c>
      <c r="L34" s="12">
        <f t="shared" ref="L34:L62" si="4">IF(AND(C34="C/ST",F34="NÃO", D34="INTERNA"),(J34*I34%),0)</f>
        <v>0</v>
      </c>
      <c r="M34" s="12">
        <f t="shared" ref="M34:M62" si="5">J34+K34+L34</f>
        <v>0</v>
      </c>
    </row>
    <row r="35" spans="1:13" hidden="1" x14ac:dyDescent="0.25">
      <c r="A35" s="24" t="s">
        <v>80</v>
      </c>
      <c r="B35" s="5" t="s">
        <v>81</v>
      </c>
      <c r="C35" s="6" t="s">
        <v>15</v>
      </c>
      <c r="D35" s="7" t="s">
        <v>22</v>
      </c>
      <c r="E35" s="7" t="s">
        <v>17</v>
      </c>
      <c r="F35" s="7" t="s">
        <v>26</v>
      </c>
      <c r="G35" s="8">
        <v>29.88</v>
      </c>
      <c r="H35" s="9">
        <v>19.05</v>
      </c>
      <c r="I35" s="13">
        <v>11.025</v>
      </c>
      <c r="J35" s="11"/>
      <c r="K35" s="12">
        <f t="shared" si="3"/>
        <v>0</v>
      </c>
      <c r="L35" s="12">
        <f t="shared" si="4"/>
        <v>0</v>
      </c>
      <c r="M35" s="12">
        <f t="shared" si="5"/>
        <v>0</v>
      </c>
    </row>
    <row r="36" spans="1:13" hidden="1" x14ac:dyDescent="0.25">
      <c r="A36" s="5" t="s">
        <v>82</v>
      </c>
      <c r="B36" s="5" t="s">
        <v>83</v>
      </c>
      <c r="C36" s="6" t="s">
        <v>15</v>
      </c>
      <c r="D36" s="7" t="s">
        <v>22</v>
      </c>
      <c r="E36" s="7" t="s">
        <v>17</v>
      </c>
      <c r="F36" s="7" t="s">
        <v>26</v>
      </c>
      <c r="G36" s="8">
        <v>36.340000000000003</v>
      </c>
      <c r="H36" s="9">
        <v>24.98</v>
      </c>
      <c r="I36" s="13">
        <v>13.99</v>
      </c>
      <c r="J36" s="11"/>
      <c r="K36" s="12">
        <f t="shared" si="3"/>
        <v>0</v>
      </c>
      <c r="L36" s="12">
        <f t="shared" si="4"/>
        <v>0</v>
      </c>
      <c r="M36" s="12">
        <f t="shared" si="5"/>
        <v>0</v>
      </c>
    </row>
    <row r="37" spans="1:13" hidden="1" x14ac:dyDescent="0.25">
      <c r="A37" s="5" t="s">
        <v>84</v>
      </c>
      <c r="B37" s="5" t="s">
        <v>85</v>
      </c>
      <c r="C37" s="6" t="s">
        <v>15</v>
      </c>
      <c r="D37" s="7" t="s">
        <v>22</v>
      </c>
      <c r="E37" s="7" t="s">
        <v>17</v>
      </c>
      <c r="F37" s="7" t="s">
        <v>26</v>
      </c>
      <c r="G37" s="8">
        <v>30.51</v>
      </c>
      <c r="H37" s="9">
        <v>19.64</v>
      </c>
      <c r="I37" s="13">
        <v>11.32</v>
      </c>
      <c r="J37" s="11"/>
      <c r="K37" s="12">
        <f t="shared" si="3"/>
        <v>0</v>
      </c>
      <c r="L37" s="12">
        <f t="shared" si="4"/>
        <v>0</v>
      </c>
      <c r="M37" s="12">
        <f t="shared" si="5"/>
        <v>0</v>
      </c>
    </row>
    <row r="38" spans="1:13" hidden="1" x14ac:dyDescent="0.25">
      <c r="A38" s="5" t="s">
        <v>86</v>
      </c>
      <c r="B38" s="5" t="s">
        <v>87</v>
      </c>
      <c r="C38" s="6" t="s">
        <v>15</v>
      </c>
      <c r="D38" s="7" t="s">
        <v>22</v>
      </c>
      <c r="E38" s="7" t="s">
        <v>17</v>
      </c>
      <c r="F38" s="7" t="s">
        <v>26</v>
      </c>
      <c r="G38" s="8">
        <v>35.1</v>
      </c>
      <c r="H38" s="9">
        <v>23.48</v>
      </c>
      <c r="I38" s="10">
        <v>13.24</v>
      </c>
      <c r="J38" s="11"/>
      <c r="K38" s="12">
        <f t="shared" si="3"/>
        <v>0</v>
      </c>
      <c r="L38" s="12">
        <f t="shared" si="4"/>
        <v>0</v>
      </c>
      <c r="M38" s="12">
        <f t="shared" si="5"/>
        <v>0</v>
      </c>
    </row>
    <row r="39" spans="1:13" hidden="1" x14ac:dyDescent="0.25">
      <c r="A39" s="5" t="s">
        <v>88</v>
      </c>
      <c r="B39" s="5" t="s">
        <v>89</v>
      </c>
      <c r="C39" s="6" t="s">
        <v>15</v>
      </c>
      <c r="D39" s="7" t="s">
        <v>22</v>
      </c>
      <c r="E39" s="7" t="s">
        <v>17</v>
      </c>
      <c r="F39" s="7" t="s">
        <v>26</v>
      </c>
      <c r="G39" s="8">
        <v>38.24</v>
      </c>
      <c r="H39" s="9">
        <v>26.72</v>
      </c>
      <c r="I39" s="13">
        <v>14.86</v>
      </c>
      <c r="J39" s="11"/>
      <c r="K39" s="12">
        <f t="shared" si="3"/>
        <v>0</v>
      </c>
      <c r="L39" s="12">
        <f t="shared" si="4"/>
        <v>0</v>
      </c>
      <c r="M39" s="12">
        <f t="shared" si="5"/>
        <v>0</v>
      </c>
    </row>
    <row r="40" spans="1:13" hidden="1" x14ac:dyDescent="0.25">
      <c r="A40" s="5" t="s">
        <v>90</v>
      </c>
      <c r="B40" s="5" t="s">
        <v>91</v>
      </c>
      <c r="C40" s="6" t="s">
        <v>15</v>
      </c>
      <c r="D40" s="7" t="s">
        <v>22</v>
      </c>
      <c r="E40" s="7" t="s">
        <v>17</v>
      </c>
      <c r="F40" s="7" t="s">
        <v>26</v>
      </c>
      <c r="G40" s="8">
        <v>19.84</v>
      </c>
      <c r="H40" s="9">
        <v>9.86</v>
      </c>
      <c r="I40" s="13">
        <v>6.43</v>
      </c>
      <c r="J40" s="11"/>
      <c r="K40" s="12">
        <f t="shared" si="3"/>
        <v>0</v>
      </c>
      <c r="L40" s="12">
        <f t="shared" si="4"/>
        <v>0</v>
      </c>
      <c r="M40" s="12">
        <f t="shared" si="5"/>
        <v>0</v>
      </c>
    </row>
    <row r="41" spans="1:13" hidden="1" x14ac:dyDescent="0.25">
      <c r="A41" s="5" t="s">
        <v>92</v>
      </c>
      <c r="B41" s="5" t="s">
        <v>93</v>
      </c>
      <c r="C41" s="6" t="s">
        <v>15</v>
      </c>
      <c r="D41" s="7" t="s">
        <v>22</v>
      </c>
      <c r="E41" s="7" t="s">
        <v>17</v>
      </c>
      <c r="F41" s="7" t="s">
        <v>26</v>
      </c>
      <c r="G41" s="8">
        <v>21.34</v>
      </c>
      <c r="H41" s="9">
        <v>11.32</v>
      </c>
      <c r="I41" s="13">
        <v>7.16</v>
      </c>
      <c r="J41" s="11"/>
      <c r="K41" s="12">
        <f t="shared" si="3"/>
        <v>0</v>
      </c>
      <c r="L41" s="12">
        <f t="shared" si="4"/>
        <v>0</v>
      </c>
      <c r="M41" s="12">
        <f t="shared" si="5"/>
        <v>0</v>
      </c>
    </row>
    <row r="42" spans="1:13" hidden="1" x14ac:dyDescent="0.25">
      <c r="A42" s="5" t="s">
        <v>94</v>
      </c>
      <c r="B42" s="5" t="s">
        <v>63</v>
      </c>
      <c r="C42" s="6" t="s">
        <v>15</v>
      </c>
      <c r="D42" s="7" t="s">
        <v>22</v>
      </c>
      <c r="E42" s="7" t="s">
        <v>17</v>
      </c>
      <c r="F42" s="7" t="s">
        <v>26</v>
      </c>
      <c r="G42" s="8">
        <v>34.19</v>
      </c>
      <c r="H42" s="9">
        <v>23.01</v>
      </c>
      <c r="I42" s="13">
        <v>13.005000000000001</v>
      </c>
      <c r="J42" s="11"/>
      <c r="K42" s="12">
        <f t="shared" si="3"/>
        <v>0</v>
      </c>
      <c r="L42" s="12">
        <f t="shared" si="4"/>
        <v>0</v>
      </c>
      <c r="M42" s="12">
        <f t="shared" si="5"/>
        <v>0</v>
      </c>
    </row>
    <row r="43" spans="1:13" hidden="1" x14ac:dyDescent="0.25">
      <c r="A43" s="5" t="s">
        <v>95</v>
      </c>
      <c r="B43" s="5" t="s">
        <v>63</v>
      </c>
      <c r="C43" s="6" t="s">
        <v>15</v>
      </c>
      <c r="D43" s="7" t="s">
        <v>22</v>
      </c>
      <c r="E43" s="7" t="s">
        <v>17</v>
      </c>
      <c r="F43" s="7" t="s">
        <v>26</v>
      </c>
      <c r="G43" s="8"/>
      <c r="H43" s="9"/>
      <c r="I43" s="13">
        <v>1.5</v>
      </c>
      <c r="J43" s="11"/>
      <c r="K43" s="12">
        <f t="shared" si="3"/>
        <v>0</v>
      </c>
      <c r="L43" s="12">
        <f t="shared" si="4"/>
        <v>0</v>
      </c>
      <c r="M43" s="12">
        <f t="shared" si="5"/>
        <v>0</v>
      </c>
    </row>
    <row r="44" spans="1:13" hidden="1" x14ac:dyDescent="0.25">
      <c r="A44" s="5" t="s">
        <v>96</v>
      </c>
      <c r="B44" s="5" t="s">
        <v>97</v>
      </c>
      <c r="C44" s="6" t="s">
        <v>15</v>
      </c>
      <c r="D44" s="7" t="s">
        <v>22</v>
      </c>
      <c r="E44" s="7" t="s">
        <v>17</v>
      </c>
      <c r="F44" s="7" t="s">
        <v>26</v>
      </c>
      <c r="G44" s="8">
        <v>21.37</v>
      </c>
      <c r="H44" s="9">
        <v>11.25</v>
      </c>
      <c r="I44" s="13">
        <v>7.125</v>
      </c>
      <c r="J44" s="11"/>
      <c r="K44" s="12">
        <f t="shared" si="3"/>
        <v>0</v>
      </c>
      <c r="L44" s="12">
        <f t="shared" si="4"/>
        <v>0</v>
      </c>
      <c r="M44" s="12">
        <f t="shared" si="5"/>
        <v>0</v>
      </c>
    </row>
    <row r="45" spans="1:13" hidden="1" x14ac:dyDescent="0.25">
      <c r="A45" s="5" t="s">
        <v>98</v>
      </c>
      <c r="B45" s="5" t="s">
        <v>99</v>
      </c>
      <c r="C45" s="6" t="s">
        <v>15</v>
      </c>
      <c r="D45" s="7" t="s">
        <v>22</v>
      </c>
      <c r="E45" s="7" t="s">
        <v>23</v>
      </c>
      <c r="F45" s="7" t="s">
        <v>26</v>
      </c>
      <c r="G45" s="8">
        <v>39.57</v>
      </c>
      <c r="H45" s="9">
        <v>27.94</v>
      </c>
      <c r="I45" s="13">
        <v>15.47</v>
      </c>
      <c r="J45" s="11">
        <v>100</v>
      </c>
      <c r="K45" s="12">
        <f t="shared" si="3"/>
        <v>39.57</v>
      </c>
      <c r="L45" s="12">
        <f t="shared" si="4"/>
        <v>0</v>
      </c>
      <c r="M45" s="12">
        <f t="shared" si="5"/>
        <v>139.57</v>
      </c>
    </row>
    <row r="46" spans="1:13" hidden="1" x14ac:dyDescent="0.25">
      <c r="A46" s="5" t="s">
        <v>100</v>
      </c>
      <c r="B46" s="5" t="s">
        <v>99</v>
      </c>
      <c r="C46" s="6" t="s">
        <v>15</v>
      </c>
      <c r="D46" s="7" t="s">
        <v>22</v>
      </c>
      <c r="E46" s="7" t="s">
        <v>17</v>
      </c>
      <c r="F46" s="7" t="s">
        <v>26</v>
      </c>
      <c r="G46" s="8">
        <v>39.57</v>
      </c>
      <c r="H46" s="9">
        <v>27.94</v>
      </c>
      <c r="I46" s="13">
        <v>15.47</v>
      </c>
      <c r="J46" s="11"/>
      <c r="K46" s="12">
        <f t="shared" si="3"/>
        <v>0</v>
      </c>
      <c r="L46" s="12">
        <f t="shared" si="4"/>
        <v>0</v>
      </c>
      <c r="M46" s="12">
        <f t="shared" si="5"/>
        <v>0</v>
      </c>
    </row>
    <row r="47" spans="1:13" hidden="1" x14ac:dyDescent="0.25">
      <c r="A47" s="5" t="s">
        <v>101</v>
      </c>
      <c r="B47" s="5" t="s">
        <v>102</v>
      </c>
      <c r="C47" s="6" t="s">
        <v>15</v>
      </c>
      <c r="D47" s="7" t="s">
        <v>22</v>
      </c>
      <c r="E47" s="7" t="s">
        <v>17</v>
      </c>
      <c r="F47" s="7" t="s">
        <v>26</v>
      </c>
      <c r="G47" s="8">
        <v>31.09</v>
      </c>
      <c r="H47" s="9">
        <v>20.16</v>
      </c>
      <c r="I47" s="13">
        <v>11.58</v>
      </c>
      <c r="J47" s="11"/>
      <c r="K47" s="12">
        <f t="shared" si="3"/>
        <v>0</v>
      </c>
      <c r="L47" s="12">
        <f t="shared" si="4"/>
        <v>0</v>
      </c>
      <c r="M47" s="12">
        <f t="shared" si="5"/>
        <v>0</v>
      </c>
    </row>
    <row r="48" spans="1:13" hidden="1" x14ac:dyDescent="0.25">
      <c r="A48" s="5" t="s">
        <v>103</v>
      </c>
      <c r="B48" s="5" t="s">
        <v>104</v>
      </c>
      <c r="C48" s="6" t="s">
        <v>15</v>
      </c>
      <c r="D48" s="7" t="s">
        <v>22</v>
      </c>
      <c r="E48" s="7" t="s">
        <v>17</v>
      </c>
      <c r="F48" s="7" t="s">
        <v>26</v>
      </c>
      <c r="G48" s="8">
        <v>37.31</v>
      </c>
      <c r="H48" s="9">
        <v>25.87</v>
      </c>
      <c r="I48" s="13">
        <v>14.435</v>
      </c>
      <c r="J48" s="11"/>
      <c r="K48" s="12">
        <f t="shared" si="3"/>
        <v>0</v>
      </c>
      <c r="L48" s="12">
        <f t="shared" si="4"/>
        <v>0</v>
      </c>
      <c r="M48" s="12">
        <f t="shared" si="5"/>
        <v>0</v>
      </c>
    </row>
    <row r="49" spans="1:13" hidden="1" x14ac:dyDescent="0.25">
      <c r="A49" s="5" t="s">
        <v>105</v>
      </c>
      <c r="B49" s="5" t="s">
        <v>106</v>
      </c>
      <c r="C49" s="6" t="s">
        <v>15</v>
      </c>
      <c r="D49" s="7" t="s">
        <v>22</v>
      </c>
      <c r="E49" s="7" t="s">
        <v>17</v>
      </c>
      <c r="F49" s="7" t="s">
        <v>26</v>
      </c>
      <c r="G49" s="8">
        <v>47.49</v>
      </c>
      <c r="H49" s="9">
        <v>35.200000000000003</v>
      </c>
      <c r="I49" s="13">
        <v>19.100000000000001</v>
      </c>
      <c r="J49" s="11"/>
      <c r="K49" s="12">
        <f t="shared" si="3"/>
        <v>0</v>
      </c>
      <c r="L49" s="12">
        <f t="shared" si="4"/>
        <v>0</v>
      </c>
      <c r="M49" s="12">
        <f t="shared" si="5"/>
        <v>0</v>
      </c>
    </row>
    <row r="50" spans="1:13" hidden="1" x14ac:dyDescent="0.25">
      <c r="A50" s="25" t="s">
        <v>107</v>
      </c>
      <c r="B50" s="25" t="s">
        <v>108</v>
      </c>
      <c r="C50" s="6" t="s">
        <v>15</v>
      </c>
      <c r="D50" s="7" t="s">
        <v>22</v>
      </c>
      <c r="E50" s="7" t="s">
        <v>17</v>
      </c>
      <c r="F50" s="7" t="s">
        <v>26</v>
      </c>
      <c r="G50" s="13">
        <v>38.43</v>
      </c>
      <c r="H50" s="26">
        <v>26.9</v>
      </c>
      <c r="I50" s="10">
        <v>14.95</v>
      </c>
      <c r="J50" s="11"/>
      <c r="K50" s="12">
        <f t="shared" si="3"/>
        <v>0</v>
      </c>
      <c r="L50" s="12">
        <f t="shared" si="4"/>
        <v>0</v>
      </c>
      <c r="M50" s="12">
        <f t="shared" si="5"/>
        <v>0</v>
      </c>
    </row>
    <row r="51" spans="1:13" hidden="1" x14ac:dyDescent="0.25">
      <c r="A51" s="25" t="s">
        <v>109</v>
      </c>
      <c r="B51" s="25" t="s">
        <v>108</v>
      </c>
      <c r="C51" s="6" t="s">
        <v>15</v>
      </c>
      <c r="D51" s="7" t="s">
        <v>22</v>
      </c>
      <c r="E51" s="7" t="s">
        <v>17</v>
      </c>
      <c r="F51" s="7" t="s">
        <v>26</v>
      </c>
      <c r="G51" s="13">
        <v>38.43</v>
      </c>
      <c r="H51" s="26">
        <v>26.9</v>
      </c>
      <c r="I51" s="13">
        <v>14.95</v>
      </c>
      <c r="J51" s="11"/>
      <c r="K51" s="12">
        <f t="shared" si="3"/>
        <v>0</v>
      </c>
      <c r="L51" s="12">
        <f t="shared" si="4"/>
        <v>0</v>
      </c>
      <c r="M51" s="12">
        <f t="shared" si="5"/>
        <v>0</v>
      </c>
    </row>
    <row r="52" spans="1:13" hidden="1" x14ac:dyDescent="0.25">
      <c r="A52" s="5" t="s">
        <v>110</v>
      </c>
      <c r="B52" s="5" t="s">
        <v>111</v>
      </c>
      <c r="C52" s="6" t="s">
        <v>15</v>
      </c>
      <c r="D52" s="7" t="s">
        <v>22</v>
      </c>
      <c r="E52" s="7" t="s">
        <v>17</v>
      </c>
      <c r="F52" s="7" t="s">
        <v>26</v>
      </c>
      <c r="G52" s="8">
        <v>39.950000000000003</v>
      </c>
      <c r="H52" s="9">
        <v>28.29</v>
      </c>
      <c r="I52" s="13">
        <v>15.645</v>
      </c>
      <c r="J52" s="11"/>
      <c r="K52" s="12">
        <f t="shared" si="3"/>
        <v>0</v>
      </c>
      <c r="L52" s="12">
        <f t="shared" si="4"/>
        <v>0</v>
      </c>
      <c r="M52" s="12">
        <f t="shared" si="5"/>
        <v>0</v>
      </c>
    </row>
    <row r="53" spans="1:13" hidden="1" x14ac:dyDescent="0.25">
      <c r="A53" s="5" t="s">
        <v>112</v>
      </c>
      <c r="B53" s="5" t="s">
        <v>113</v>
      </c>
      <c r="C53" s="6" t="s">
        <v>15</v>
      </c>
      <c r="D53" s="7" t="s">
        <v>16</v>
      </c>
      <c r="E53" s="7" t="s">
        <v>17</v>
      </c>
      <c r="F53" s="7" t="s">
        <v>26</v>
      </c>
      <c r="G53" s="8">
        <v>39.44</v>
      </c>
      <c r="H53" s="9">
        <v>27.82</v>
      </c>
      <c r="I53" s="13">
        <v>15.41</v>
      </c>
      <c r="J53" s="11"/>
      <c r="K53" s="12">
        <f t="shared" si="3"/>
        <v>0</v>
      </c>
      <c r="L53" s="12">
        <f t="shared" si="4"/>
        <v>0</v>
      </c>
      <c r="M53" s="12">
        <f t="shared" si="5"/>
        <v>0</v>
      </c>
    </row>
    <row r="54" spans="1:13" hidden="1" x14ac:dyDescent="0.25">
      <c r="A54" s="5" t="s">
        <v>114</v>
      </c>
      <c r="B54" s="5" t="s">
        <v>115</v>
      </c>
      <c r="C54" s="6" t="s">
        <v>15</v>
      </c>
      <c r="D54" s="7" t="s">
        <v>22</v>
      </c>
      <c r="E54" s="7" t="s">
        <v>17</v>
      </c>
      <c r="F54" s="7" t="s">
        <v>26</v>
      </c>
      <c r="G54" s="8">
        <v>37.49</v>
      </c>
      <c r="H54" s="9">
        <v>26.03</v>
      </c>
      <c r="I54" s="13">
        <v>14.515000000000001</v>
      </c>
      <c r="J54" s="11"/>
      <c r="K54" s="12">
        <f t="shared" si="3"/>
        <v>0</v>
      </c>
      <c r="L54" s="12">
        <f t="shared" si="4"/>
        <v>0</v>
      </c>
      <c r="M54" s="12">
        <f t="shared" si="5"/>
        <v>0</v>
      </c>
    </row>
    <row r="55" spans="1:13" hidden="1" x14ac:dyDescent="0.25">
      <c r="A55" s="5" t="s">
        <v>116</v>
      </c>
      <c r="B55" s="5" t="s">
        <v>117</v>
      </c>
      <c r="C55" s="6" t="s">
        <v>15</v>
      </c>
      <c r="D55" s="7" t="s">
        <v>22</v>
      </c>
      <c r="E55" s="7" t="s">
        <v>17</v>
      </c>
      <c r="F55" s="7" t="s">
        <v>26</v>
      </c>
      <c r="G55" s="8">
        <v>31.09</v>
      </c>
      <c r="H55" s="9">
        <v>20.16</v>
      </c>
      <c r="I55" s="13">
        <v>11.58</v>
      </c>
      <c r="J55" s="11"/>
      <c r="K55" s="12">
        <f t="shared" si="3"/>
        <v>0</v>
      </c>
      <c r="L55" s="12">
        <f t="shared" si="4"/>
        <v>0</v>
      </c>
      <c r="M55" s="12">
        <f t="shared" si="5"/>
        <v>0</v>
      </c>
    </row>
    <row r="56" spans="1:13" hidden="1" x14ac:dyDescent="0.25">
      <c r="A56" s="5" t="s">
        <v>118</v>
      </c>
      <c r="B56" s="5" t="s">
        <v>119</v>
      </c>
      <c r="C56" s="6" t="s">
        <v>15</v>
      </c>
      <c r="D56" s="7" t="s">
        <v>16</v>
      </c>
      <c r="E56" s="7" t="s">
        <v>17</v>
      </c>
      <c r="F56" s="7" t="s">
        <v>26</v>
      </c>
      <c r="G56" s="8">
        <v>16.899999999999999</v>
      </c>
      <c r="H56" s="9">
        <v>7.16</v>
      </c>
      <c r="I56" s="14">
        <v>5.08</v>
      </c>
      <c r="J56" s="11"/>
      <c r="K56" s="12">
        <f t="shared" si="3"/>
        <v>0</v>
      </c>
      <c r="L56" s="12">
        <f t="shared" si="4"/>
        <v>0</v>
      </c>
      <c r="M56" s="12">
        <f t="shared" si="5"/>
        <v>0</v>
      </c>
    </row>
    <row r="57" spans="1:13" hidden="1" x14ac:dyDescent="0.25">
      <c r="A57" s="5" t="s">
        <v>120</v>
      </c>
      <c r="B57" s="5" t="s">
        <v>121</v>
      </c>
      <c r="C57" s="6" t="s">
        <v>15</v>
      </c>
      <c r="D57" s="7" t="s">
        <v>22</v>
      </c>
      <c r="E57" s="7" t="s">
        <v>17</v>
      </c>
      <c r="F57" s="7" t="s">
        <v>26</v>
      </c>
      <c r="G57" s="8">
        <v>37.119999999999997</v>
      </c>
      <c r="H57" s="9">
        <v>25.69</v>
      </c>
      <c r="I57" s="13">
        <v>14.345000000000001</v>
      </c>
      <c r="J57" s="11"/>
      <c r="K57" s="12">
        <f t="shared" si="3"/>
        <v>0</v>
      </c>
      <c r="L57" s="12">
        <f t="shared" si="4"/>
        <v>0</v>
      </c>
      <c r="M57" s="12">
        <f t="shared" si="5"/>
        <v>0</v>
      </c>
    </row>
    <row r="58" spans="1:13" hidden="1" x14ac:dyDescent="0.25">
      <c r="A58" s="5" t="s">
        <v>122</v>
      </c>
      <c r="B58" s="5" t="s">
        <v>123</v>
      </c>
      <c r="C58" s="6" t="s">
        <v>15</v>
      </c>
      <c r="D58" s="7" t="s">
        <v>22</v>
      </c>
      <c r="E58" s="7" t="s">
        <v>17</v>
      </c>
      <c r="F58" s="7" t="s">
        <v>26</v>
      </c>
      <c r="G58" s="8">
        <v>37.69</v>
      </c>
      <c r="H58" s="9">
        <v>26.21</v>
      </c>
      <c r="I58" s="13">
        <v>14.605</v>
      </c>
      <c r="J58" s="11"/>
      <c r="K58" s="12">
        <f t="shared" si="3"/>
        <v>0</v>
      </c>
      <c r="L58" s="12">
        <f t="shared" si="4"/>
        <v>0</v>
      </c>
      <c r="M58" s="12">
        <f t="shared" si="5"/>
        <v>0</v>
      </c>
    </row>
    <row r="59" spans="1:13" hidden="1" x14ac:dyDescent="0.25">
      <c r="A59" s="5" t="s">
        <v>124</v>
      </c>
      <c r="B59" s="5" t="s">
        <v>125</v>
      </c>
      <c r="C59" s="6" t="s">
        <v>15</v>
      </c>
      <c r="D59" s="7" t="s">
        <v>22</v>
      </c>
      <c r="E59" s="7" t="s">
        <v>17</v>
      </c>
      <c r="F59" s="7" t="s">
        <v>26</v>
      </c>
      <c r="G59" s="8">
        <v>32.020000000000003</v>
      </c>
      <c r="H59" s="9">
        <v>21.02</v>
      </c>
      <c r="I59" s="13">
        <v>12.01</v>
      </c>
      <c r="J59" s="11"/>
      <c r="K59" s="12">
        <f t="shared" si="3"/>
        <v>0</v>
      </c>
      <c r="L59" s="12">
        <f t="shared" si="4"/>
        <v>0</v>
      </c>
      <c r="M59" s="12">
        <f t="shared" si="5"/>
        <v>0</v>
      </c>
    </row>
    <row r="60" spans="1:13" hidden="1" x14ac:dyDescent="0.25">
      <c r="A60" s="6" t="s">
        <v>126</v>
      </c>
      <c r="B60" s="5" t="s">
        <v>127</v>
      </c>
      <c r="C60" s="6" t="s">
        <v>15</v>
      </c>
      <c r="D60" s="7" t="s">
        <v>22</v>
      </c>
      <c r="E60" s="7" t="s">
        <v>17</v>
      </c>
      <c r="F60" s="7" t="s">
        <v>26</v>
      </c>
      <c r="G60" s="27">
        <v>32.020000000000003</v>
      </c>
      <c r="H60" s="28">
        <v>19.2</v>
      </c>
      <c r="I60" s="13">
        <v>11.1</v>
      </c>
      <c r="J60" s="11"/>
      <c r="K60" s="12">
        <f t="shared" si="3"/>
        <v>0</v>
      </c>
      <c r="L60" s="12">
        <f t="shared" si="4"/>
        <v>0</v>
      </c>
      <c r="M60" s="12">
        <f t="shared" si="5"/>
        <v>0</v>
      </c>
    </row>
    <row r="61" spans="1:13" hidden="1" x14ac:dyDescent="0.25">
      <c r="A61" s="6" t="s">
        <v>128</v>
      </c>
      <c r="B61" s="6" t="s">
        <v>129</v>
      </c>
      <c r="C61" s="6" t="s">
        <v>15</v>
      </c>
      <c r="D61" s="7" t="s">
        <v>22</v>
      </c>
      <c r="E61" s="7" t="s">
        <v>17</v>
      </c>
      <c r="F61" s="7" t="s">
        <v>26</v>
      </c>
      <c r="G61" s="27">
        <v>32</v>
      </c>
      <c r="H61" s="28">
        <v>17</v>
      </c>
      <c r="I61" s="13">
        <v>10</v>
      </c>
      <c r="J61" s="11">
        <v>50</v>
      </c>
      <c r="K61" s="12">
        <f t="shared" si="3"/>
        <v>8.5</v>
      </c>
      <c r="L61" s="12">
        <f t="shared" si="4"/>
        <v>0</v>
      </c>
      <c r="M61" s="12">
        <f t="shared" si="5"/>
        <v>58.5</v>
      </c>
    </row>
    <row r="62" spans="1:13" hidden="1" x14ac:dyDescent="0.25">
      <c r="A62" s="6" t="s">
        <v>130</v>
      </c>
      <c r="B62" s="6" t="s">
        <v>131</v>
      </c>
      <c r="C62" s="6" t="s">
        <v>15</v>
      </c>
      <c r="D62" s="7" t="s">
        <v>22</v>
      </c>
      <c r="E62" s="7" t="s">
        <v>17</v>
      </c>
      <c r="F62" s="7" t="s">
        <v>26</v>
      </c>
      <c r="G62" s="27">
        <v>12</v>
      </c>
      <c r="H62" s="28">
        <v>9.5</v>
      </c>
      <c r="I62" s="10">
        <v>6.25</v>
      </c>
      <c r="J62" s="11"/>
      <c r="K62" s="12">
        <f t="shared" si="3"/>
        <v>0</v>
      </c>
      <c r="L62" s="12">
        <f t="shared" si="4"/>
        <v>0</v>
      </c>
      <c r="M62" s="12">
        <f t="shared" si="5"/>
        <v>0</v>
      </c>
    </row>
  </sheetData>
  <sheetProtection sheet="1" objects="1" scenarios="1" autoFilter="0"/>
  <autoFilter ref="A1:A62" xr:uid="{00000000-0009-0000-0000-000000000000}">
    <filterColumn colId="0">
      <filters>
        <filter val="8473.30.90"/>
      </filters>
    </filterColumn>
  </autoFilter>
  <dataValidations count="3">
    <dataValidation type="list" allowBlank="1" showInputMessage="1" showErrorMessage="1" sqref="D2:D62" xr:uid="{00000000-0002-0000-0000-000000000000}">
      <formula1>"EXTERNA,INTERNA"</formula1>
    </dataValidation>
    <dataValidation type="list" allowBlank="1" showInputMessage="1" showErrorMessage="1" sqref="E2:E62" xr:uid="{00000000-0002-0000-0000-000001000000}">
      <formula1>"NACIONAL,IMPORTADA"</formula1>
    </dataValidation>
    <dataValidation type="list" allowBlank="1" showInputMessage="1" showErrorMessage="1" sqref="F2:F62" xr:uid="{00000000-0002-0000-0000-000002000000}">
      <formula1>"SIM,NÃO"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D9AF-B393-4ECC-BF85-51A23AD46964}">
  <dimension ref="A1:M63"/>
  <sheetViews>
    <sheetView tabSelected="1" workbookViewId="0">
      <pane ySplit="1" topLeftCell="A41" activePane="bottomLeft" state="frozen"/>
      <selection pane="bottomLeft" activeCell="I72" sqref="I72"/>
    </sheetView>
  </sheetViews>
  <sheetFormatPr defaultRowHeight="15" x14ac:dyDescent="0.25"/>
  <cols>
    <col min="1" max="1" width="12" bestFit="1" customWidth="1"/>
    <col min="2" max="2" width="38" bestFit="1" customWidth="1"/>
    <col min="3" max="3" width="6.28515625" bestFit="1" customWidth="1"/>
    <col min="4" max="4" width="11.42578125" bestFit="1" customWidth="1"/>
    <col min="5" max="5" width="11.85546875" bestFit="1" customWidth="1"/>
    <col min="6" max="6" width="9.140625" bestFit="1" customWidth="1"/>
    <col min="7" max="7" width="13.5703125" bestFit="1" customWidth="1"/>
    <col min="8" max="8" width="12.140625" bestFit="1" customWidth="1"/>
    <col min="9" max="9" width="7.7109375" bestFit="1" customWidth="1"/>
    <col min="10" max="10" width="9.85546875" bestFit="1" customWidth="1"/>
    <col min="11" max="11" width="16.85546875" style="32" bestFit="1" customWidth="1"/>
    <col min="13" max="13" width="9.5703125" bestFit="1" customWidth="1"/>
  </cols>
  <sheetData>
    <row r="1" spans="1:13" ht="38.25" customHeight="1" x14ac:dyDescent="0.25">
      <c r="A1" s="1" t="s">
        <v>0</v>
      </c>
      <c r="B1" s="1" t="s">
        <v>1</v>
      </c>
      <c r="C1" s="2" t="s">
        <v>2</v>
      </c>
      <c r="D1" s="2" t="s">
        <v>132</v>
      </c>
      <c r="E1" s="2" t="s">
        <v>133</v>
      </c>
      <c r="F1" s="2" t="s">
        <v>5</v>
      </c>
      <c r="G1" s="2" t="s">
        <v>134</v>
      </c>
      <c r="H1" s="3" t="s">
        <v>135</v>
      </c>
      <c r="I1" s="4" t="s">
        <v>136</v>
      </c>
      <c r="J1" s="2" t="s">
        <v>9</v>
      </c>
      <c r="K1" s="30" t="s">
        <v>10</v>
      </c>
      <c r="L1" s="2" t="s">
        <v>11</v>
      </c>
      <c r="M1" s="2" t="s">
        <v>12</v>
      </c>
    </row>
    <row r="2" spans="1:13" x14ac:dyDescent="0.25">
      <c r="A2" s="5" t="s">
        <v>13</v>
      </c>
      <c r="B2" s="5" t="s">
        <v>14</v>
      </c>
      <c r="C2" s="6" t="s">
        <v>15</v>
      </c>
      <c r="D2" s="7" t="s">
        <v>22</v>
      </c>
      <c r="E2" s="7" t="s">
        <v>23</v>
      </c>
      <c r="F2" s="7" t="s">
        <v>26</v>
      </c>
      <c r="G2" s="8">
        <v>32.21</v>
      </c>
      <c r="H2" s="9">
        <v>21.19</v>
      </c>
      <c r="I2" s="10">
        <v>12.5</v>
      </c>
      <c r="J2" s="11">
        <v>100</v>
      </c>
      <c r="K2" s="31">
        <f>IF(D2="EXTERNA",IF(C2="C/ST",IF(E2="IMPORTADA",J2*G2%,J2*H2%),IF(E2="NACIONAL",J2*H2%,J2*G2%)),0)</f>
        <v>32.21</v>
      </c>
      <c r="L2" s="12">
        <f t="shared" ref="L2:L63" si="0">IF(AND(C2="C/ST",F2="NÃO", D2="INTERNA"),(J2*I2%),0)</f>
        <v>0</v>
      </c>
      <c r="M2" s="12">
        <f t="shared" ref="M2:M63" si="1">J2+K2+L2</f>
        <v>132.21</v>
      </c>
    </row>
    <row r="3" spans="1:13" x14ac:dyDescent="0.25">
      <c r="A3" s="5" t="s">
        <v>20</v>
      </c>
      <c r="B3" s="5" t="s">
        <v>21</v>
      </c>
      <c r="C3" s="6" t="s">
        <v>15</v>
      </c>
      <c r="D3" s="7" t="s">
        <v>22</v>
      </c>
      <c r="E3" s="7" t="s">
        <v>23</v>
      </c>
      <c r="F3" s="7" t="s">
        <v>18</v>
      </c>
      <c r="G3" s="8">
        <v>21.37</v>
      </c>
      <c r="H3" s="9">
        <v>11.25</v>
      </c>
      <c r="I3" s="13">
        <v>7.125</v>
      </c>
      <c r="J3" s="11"/>
      <c r="K3" s="31">
        <f t="shared" ref="K3:K63" si="2">IF(D3="EXTERNA",IF(C3="C/ST",IF(E3="IMPORTADA",J3*G3%,J3*H3%),IF(E3="NACIONAL",J3*H3%,J3*G3%)),0)</f>
        <v>0</v>
      </c>
      <c r="L3" s="12">
        <f t="shared" si="0"/>
        <v>0</v>
      </c>
      <c r="M3" s="12">
        <f t="shared" si="1"/>
        <v>0</v>
      </c>
    </row>
    <row r="4" spans="1:13" x14ac:dyDescent="0.25">
      <c r="A4" s="5" t="s">
        <v>24</v>
      </c>
      <c r="B4" s="5" t="s">
        <v>25</v>
      </c>
      <c r="C4" s="6" t="s">
        <v>15</v>
      </c>
      <c r="D4" s="7" t="s">
        <v>22</v>
      </c>
      <c r="E4" s="7" t="s">
        <v>17</v>
      </c>
      <c r="F4" s="7" t="s">
        <v>26</v>
      </c>
      <c r="G4" s="8">
        <v>19.84</v>
      </c>
      <c r="H4" s="9">
        <v>9.86</v>
      </c>
      <c r="I4" s="13">
        <v>6.43</v>
      </c>
      <c r="J4" s="11"/>
      <c r="K4" s="31">
        <f t="shared" si="2"/>
        <v>0</v>
      </c>
      <c r="L4" s="12">
        <f t="shared" si="0"/>
        <v>0</v>
      </c>
      <c r="M4" s="12">
        <f t="shared" si="1"/>
        <v>0</v>
      </c>
    </row>
    <row r="5" spans="1:13" x14ac:dyDescent="0.25">
      <c r="A5" s="5" t="s">
        <v>27</v>
      </c>
      <c r="B5" s="5" t="s">
        <v>28</v>
      </c>
      <c r="C5" s="6" t="s">
        <v>15</v>
      </c>
      <c r="D5" s="7" t="s">
        <v>22</v>
      </c>
      <c r="E5" s="7" t="s">
        <v>17</v>
      </c>
      <c r="F5" s="7" t="s">
        <v>26</v>
      </c>
      <c r="G5" s="8">
        <v>16.899999999999999</v>
      </c>
      <c r="H5" s="9">
        <v>7.16</v>
      </c>
      <c r="I5" s="14">
        <v>5.08</v>
      </c>
      <c r="J5" s="11"/>
      <c r="K5" s="31">
        <f t="shared" si="2"/>
        <v>0</v>
      </c>
      <c r="L5" s="12">
        <f t="shared" si="0"/>
        <v>0</v>
      </c>
      <c r="M5" s="12">
        <f t="shared" si="1"/>
        <v>0</v>
      </c>
    </row>
    <row r="6" spans="1:13" x14ac:dyDescent="0.25">
      <c r="A6" s="5" t="s">
        <v>29</v>
      </c>
      <c r="B6" s="5" t="s">
        <v>30</v>
      </c>
      <c r="C6" s="6" t="s">
        <v>15</v>
      </c>
      <c r="D6" s="7" t="s">
        <v>22</v>
      </c>
      <c r="E6" s="7" t="s">
        <v>17</v>
      </c>
      <c r="F6" s="7" t="s">
        <v>26</v>
      </c>
      <c r="G6" s="8">
        <v>32.26</v>
      </c>
      <c r="H6" s="9">
        <v>21.24</v>
      </c>
      <c r="I6" s="13">
        <v>12.12</v>
      </c>
      <c r="J6" s="11"/>
      <c r="K6" s="31">
        <f t="shared" si="2"/>
        <v>0</v>
      </c>
      <c r="L6" s="12">
        <f t="shared" si="0"/>
        <v>0</v>
      </c>
      <c r="M6" s="12">
        <f t="shared" si="1"/>
        <v>0</v>
      </c>
    </row>
    <row r="7" spans="1:13" x14ac:dyDescent="0.25">
      <c r="A7" s="5" t="s">
        <v>31</v>
      </c>
      <c r="B7" s="5" t="s">
        <v>32</v>
      </c>
      <c r="C7" s="6" t="s">
        <v>15</v>
      </c>
      <c r="D7" s="7" t="s">
        <v>22</v>
      </c>
      <c r="E7" s="7" t="s">
        <v>17</v>
      </c>
      <c r="F7" s="7" t="s">
        <v>26</v>
      </c>
      <c r="G7" s="8">
        <v>31.76</v>
      </c>
      <c r="H7" s="9">
        <v>20.78</v>
      </c>
      <c r="I7" s="13">
        <v>11.89</v>
      </c>
      <c r="J7" s="11"/>
      <c r="K7" s="31">
        <f t="shared" si="2"/>
        <v>0</v>
      </c>
      <c r="L7" s="12">
        <f t="shared" si="0"/>
        <v>0</v>
      </c>
      <c r="M7" s="12">
        <f t="shared" si="1"/>
        <v>0</v>
      </c>
    </row>
    <row r="8" spans="1:13" x14ac:dyDescent="0.25">
      <c r="A8" s="5" t="s">
        <v>33</v>
      </c>
      <c r="B8" s="5" t="s">
        <v>34</v>
      </c>
      <c r="C8" s="6" t="s">
        <v>15</v>
      </c>
      <c r="D8" s="7" t="s">
        <v>22</v>
      </c>
      <c r="E8" s="7" t="s">
        <v>17</v>
      </c>
      <c r="F8" s="7" t="s">
        <v>26</v>
      </c>
      <c r="G8" s="8">
        <v>37.31</v>
      </c>
      <c r="H8" s="9">
        <v>25.87</v>
      </c>
      <c r="I8" s="13">
        <v>14.435</v>
      </c>
      <c r="J8" s="11"/>
      <c r="K8" s="31">
        <f t="shared" si="2"/>
        <v>0</v>
      </c>
      <c r="L8" s="12">
        <f t="shared" si="0"/>
        <v>0</v>
      </c>
      <c r="M8" s="12">
        <f t="shared" si="1"/>
        <v>0</v>
      </c>
    </row>
    <row r="9" spans="1:13" x14ac:dyDescent="0.25">
      <c r="A9" s="5" t="s">
        <v>35</v>
      </c>
      <c r="B9" s="5" t="s">
        <v>36</v>
      </c>
      <c r="C9" s="6" t="s">
        <v>15</v>
      </c>
      <c r="D9" s="7" t="s">
        <v>22</v>
      </c>
      <c r="E9" s="7" t="s">
        <v>17</v>
      </c>
      <c r="F9" s="7" t="s">
        <v>26</v>
      </c>
      <c r="G9" s="8">
        <v>33.909999999999997</v>
      </c>
      <c r="H9" s="9">
        <v>22.75</v>
      </c>
      <c r="I9" s="13">
        <v>12.875</v>
      </c>
      <c r="J9" s="11"/>
      <c r="K9" s="31">
        <f t="shared" si="2"/>
        <v>0</v>
      </c>
      <c r="L9" s="12">
        <f t="shared" si="0"/>
        <v>0</v>
      </c>
      <c r="M9" s="12">
        <f t="shared" si="1"/>
        <v>0</v>
      </c>
    </row>
    <row r="10" spans="1:13" x14ac:dyDescent="0.25">
      <c r="A10" s="5" t="s">
        <v>37</v>
      </c>
      <c r="B10" s="5" t="s">
        <v>36</v>
      </c>
      <c r="C10" s="6" t="s">
        <v>15</v>
      </c>
      <c r="D10" s="7" t="s">
        <v>22</v>
      </c>
      <c r="E10" s="7" t="s">
        <v>17</v>
      </c>
      <c r="F10" s="7" t="s">
        <v>26</v>
      </c>
      <c r="G10" s="8">
        <v>31.03</v>
      </c>
      <c r="H10" s="9">
        <v>20.11</v>
      </c>
      <c r="I10" s="13">
        <v>11.555</v>
      </c>
      <c r="J10" s="11"/>
      <c r="K10" s="31">
        <f t="shared" si="2"/>
        <v>0</v>
      </c>
      <c r="L10" s="12">
        <f t="shared" si="0"/>
        <v>0</v>
      </c>
      <c r="M10" s="12">
        <f t="shared" si="1"/>
        <v>0</v>
      </c>
    </row>
    <row r="11" spans="1:13" x14ac:dyDescent="0.25">
      <c r="A11" s="5" t="s">
        <v>38</v>
      </c>
      <c r="B11" s="5" t="s">
        <v>39</v>
      </c>
      <c r="C11" s="6" t="s">
        <v>15</v>
      </c>
      <c r="D11" s="7" t="s">
        <v>22</v>
      </c>
      <c r="E11" s="7" t="s">
        <v>17</v>
      </c>
      <c r="F11" s="7" t="s">
        <v>26</v>
      </c>
      <c r="G11" s="8">
        <v>34.18</v>
      </c>
      <c r="H11" s="9">
        <v>23</v>
      </c>
      <c r="I11" s="13">
        <v>13</v>
      </c>
      <c r="J11" s="11"/>
      <c r="K11" s="31">
        <f t="shared" si="2"/>
        <v>0</v>
      </c>
      <c r="L11" s="12">
        <f t="shared" si="0"/>
        <v>0</v>
      </c>
      <c r="M11" s="12">
        <f t="shared" si="1"/>
        <v>0</v>
      </c>
    </row>
    <row r="12" spans="1:13" x14ac:dyDescent="0.25">
      <c r="A12" s="5" t="s">
        <v>40</v>
      </c>
      <c r="B12" s="5" t="s">
        <v>41</v>
      </c>
      <c r="C12" s="6" t="s">
        <v>15</v>
      </c>
      <c r="D12" s="7" t="s">
        <v>22</v>
      </c>
      <c r="E12" s="7" t="s">
        <v>17</v>
      </c>
      <c r="F12" s="7" t="s">
        <v>26</v>
      </c>
      <c r="G12" s="8">
        <v>38.85</v>
      </c>
      <c r="H12" s="9">
        <v>27.28</v>
      </c>
      <c r="I12" s="13">
        <v>15.14</v>
      </c>
      <c r="J12" s="11"/>
      <c r="K12" s="31">
        <f t="shared" si="2"/>
        <v>0</v>
      </c>
      <c r="L12" s="12">
        <f t="shared" si="0"/>
        <v>0</v>
      </c>
      <c r="M12" s="12">
        <f t="shared" si="1"/>
        <v>0</v>
      </c>
    </row>
    <row r="13" spans="1:13" x14ac:dyDescent="0.25">
      <c r="A13" s="5" t="s">
        <v>42</v>
      </c>
      <c r="B13" s="5" t="s">
        <v>43</v>
      </c>
      <c r="C13" s="6" t="s">
        <v>15</v>
      </c>
      <c r="D13" s="7" t="s">
        <v>16</v>
      </c>
      <c r="E13" s="7" t="s">
        <v>17</v>
      </c>
      <c r="F13" s="7" t="s">
        <v>26</v>
      </c>
      <c r="G13" s="8">
        <v>37.33</v>
      </c>
      <c r="H13" s="9">
        <v>25.89</v>
      </c>
      <c r="I13" s="13">
        <v>14.445</v>
      </c>
      <c r="J13" s="11"/>
      <c r="K13" s="31">
        <f t="shared" si="2"/>
        <v>0</v>
      </c>
      <c r="L13" s="12">
        <f t="shared" si="0"/>
        <v>0</v>
      </c>
      <c r="M13" s="12">
        <f t="shared" si="1"/>
        <v>0</v>
      </c>
    </row>
    <row r="14" spans="1:13" x14ac:dyDescent="0.25">
      <c r="A14" s="5" t="s">
        <v>44</v>
      </c>
      <c r="B14" s="5" t="s">
        <v>45</v>
      </c>
      <c r="C14" s="6" t="s">
        <v>15</v>
      </c>
      <c r="D14" s="7" t="s">
        <v>22</v>
      </c>
      <c r="E14" s="7" t="s">
        <v>17</v>
      </c>
      <c r="F14" s="7" t="s">
        <v>26</v>
      </c>
      <c r="G14" s="8">
        <v>33.03</v>
      </c>
      <c r="H14" s="9">
        <v>21.94</v>
      </c>
      <c r="I14" s="10">
        <v>12.47</v>
      </c>
      <c r="J14" s="11"/>
      <c r="K14" s="31">
        <f t="shared" si="2"/>
        <v>0</v>
      </c>
      <c r="L14" s="12">
        <f t="shared" si="0"/>
        <v>0</v>
      </c>
      <c r="M14" s="12">
        <f t="shared" si="1"/>
        <v>0</v>
      </c>
    </row>
    <row r="15" spans="1:13" x14ac:dyDescent="0.25">
      <c r="A15" s="5" t="s">
        <v>46</v>
      </c>
      <c r="B15" s="5" t="s">
        <v>45</v>
      </c>
      <c r="C15" s="6" t="s">
        <v>15</v>
      </c>
      <c r="D15" s="7" t="s">
        <v>22</v>
      </c>
      <c r="E15" s="7" t="s">
        <v>17</v>
      </c>
      <c r="F15" s="7" t="s">
        <v>26</v>
      </c>
      <c r="G15" s="8">
        <v>33.03</v>
      </c>
      <c r="H15" s="9">
        <v>21.94</v>
      </c>
      <c r="I15" s="13">
        <v>12.47</v>
      </c>
      <c r="J15" s="11"/>
      <c r="K15" s="31">
        <f t="shared" si="2"/>
        <v>0</v>
      </c>
      <c r="L15" s="12">
        <f t="shared" si="0"/>
        <v>0</v>
      </c>
      <c r="M15" s="12">
        <f t="shared" si="1"/>
        <v>0</v>
      </c>
    </row>
    <row r="16" spans="1:13" x14ac:dyDescent="0.25">
      <c r="A16" s="5" t="s">
        <v>47</v>
      </c>
      <c r="B16" s="5" t="s">
        <v>48</v>
      </c>
      <c r="C16" s="6" t="s">
        <v>15</v>
      </c>
      <c r="D16" s="7" t="s">
        <v>22</v>
      </c>
      <c r="E16" s="7" t="s">
        <v>17</v>
      </c>
      <c r="F16" s="7" t="s">
        <v>26</v>
      </c>
      <c r="G16" s="8">
        <v>22.77</v>
      </c>
      <c r="H16" s="9">
        <v>12.54</v>
      </c>
      <c r="I16" s="13">
        <v>7.77</v>
      </c>
      <c r="J16" s="11"/>
      <c r="K16" s="31">
        <f t="shared" si="2"/>
        <v>0</v>
      </c>
      <c r="L16" s="12">
        <f t="shared" si="0"/>
        <v>0</v>
      </c>
      <c r="M16" s="12">
        <f t="shared" si="1"/>
        <v>0</v>
      </c>
    </row>
    <row r="17" spans="1:13" x14ac:dyDescent="0.25">
      <c r="A17" s="5" t="s">
        <v>49</v>
      </c>
      <c r="B17" s="5" t="s">
        <v>50</v>
      </c>
      <c r="C17" s="6" t="s">
        <v>15</v>
      </c>
      <c r="D17" s="7" t="s">
        <v>22</v>
      </c>
      <c r="E17" s="7" t="s">
        <v>17</v>
      </c>
      <c r="F17" s="7" t="s">
        <v>26</v>
      </c>
      <c r="G17" s="8">
        <v>34.72</v>
      </c>
      <c r="H17" s="9">
        <v>23.49</v>
      </c>
      <c r="I17" s="13">
        <v>13.244999999999999</v>
      </c>
      <c r="J17" s="11"/>
      <c r="K17" s="31">
        <f t="shared" si="2"/>
        <v>0</v>
      </c>
      <c r="L17" s="12">
        <f t="shared" si="0"/>
        <v>0</v>
      </c>
      <c r="M17" s="12">
        <f t="shared" si="1"/>
        <v>0</v>
      </c>
    </row>
    <row r="18" spans="1:13" x14ac:dyDescent="0.25">
      <c r="A18" s="15" t="s">
        <v>51</v>
      </c>
      <c r="B18" s="16" t="s">
        <v>52</v>
      </c>
      <c r="C18" s="6" t="s">
        <v>15</v>
      </c>
      <c r="D18" s="7" t="s">
        <v>22</v>
      </c>
      <c r="E18" s="7" t="s">
        <v>17</v>
      </c>
      <c r="F18" s="7" t="s">
        <v>26</v>
      </c>
      <c r="G18" s="17">
        <v>36.619999999999997</v>
      </c>
      <c r="H18" s="18">
        <v>25.23</v>
      </c>
      <c r="I18" s="13">
        <v>14.115</v>
      </c>
      <c r="J18" s="11">
        <v>100</v>
      </c>
      <c r="K18" s="31">
        <f t="shared" si="2"/>
        <v>25.230000000000004</v>
      </c>
      <c r="L18" s="12">
        <f t="shared" si="0"/>
        <v>0</v>
      </c>
      <c r="M18" s="12">
        <f t="shared" si="1"/>
        <v>125.23</v>
      </c>
    </row>
    <row r="19" spans="1:13" x14ac:dyDescent="0.25">
      <c r="A19" s="19" t="s">
        <v>53</v>
      </c>
      <c r="B19" s="16" t="s">
        <v>54</v>
      </c>
      <c r="C19" s="6" t="s">
        <v>15</v>
      </c>
      <c r="D19" s="7" t="s">
        <v>22</v>
      </c>
      <c r="E19" s="7" t="s">
        <v>17</v>
      </c>
      <c r="F19" s="7" t="s">
        <v>26</v>
      </c>
      <c r="G19" s="17">
        <v>36.619999999999997</v>
      </c>
      <c r="H19" s="18">
        <v>25.23</v>
      </c>
      <c r="I19" s="13">
        <v>14.115</v>
      </c>
      <c r="J19" s="11"/>
      <c r="K19" s="31">
        <f t="shared" si="2"/>
        <v>0</v>
      </c>
      <c r="L19" s="12">
        <f t="shared" si="0"/>
        <v>0</v>
      </c>
      <c r="M19" s="12">
        <f t="shared" si="1"/>
        <v>0</v>
      </c>
    </row>
    <row r="20" spans="1:13" x14ac:dyDescent="0.25">
      <c r="A20" s="15" t="s">
        <v>55</v>
      </c>
      <c r="B20" s="16" t="s">
        <v>56</v>
      </c>
      <c r="C20" s="6" t="s">
        <v>15</v>
      </c>
      <c r="D20" s="7" t="s">
        <v>22</v>
      </c>
      <c r="E20" s="7" t="s">
        <v>17</v>
      </c>
      <c r="F20" s="7" t="s">
        <v>26</v>
      </c>
      <c r="G20" s="17">
        <v>36.619999999999997</v>
      </c>
      <c r="H20" s="18">
        <v>25.23</v>
      </c>
      <c r="I20" s="13">
        <v>14.115</v>
      </c>
      <c r="J20" s="11"/>
      <c r="K20" s="31">
        <f t="shared" si="2"/>
        <v>0</v>
      </c>
      <c r="L20" s="12">
        <f t="shared" si="0"/>
        <v>0</v>
      </c>
      <c r="M20" s="12">
        <f t="shared" si="1"/>
        <v>0</v>
      </c>
    </row>
    <row r="21" spans="1:13" x14ac:dyDescent="0.25">
      <c r="A21" s="15" t="s">
        <v>57</v>
      </c>
      <c r="B21" s="5" t="s">
        <v>56</v>
      </c>
      <c r="C21" s="6" t="s">
        <v>15</v>
      </c>
      <c r="D21" s="7" t="s">
        <v>22</v>
      </c>
      <c r="E21" s="7" t="s">
        <v>17</v>
      </c>
      <c r="F21" s="7" t="s">
        <v>26</v>
      </c>
      <c r="G21" s="17">
        <v>36.619999999999997</v>
      </c>
      <c r="H21" s="18">
        <v>25.23</v>
      </c>
      <c r="I21" s="13">
        <v>14.115</v>
      </c>
      <c r="J21" s="11"/>
      <c r="K21" s="31">
        <f t="shared" si="2"/>
        <v>0</v>
      </c>
      <c r="L21" s="12">
        <f t="shared" si="0"/>
        <v>0</v>
      </c>
      <c r="M21" s="12">
        <f t="shared" si="1"/>
        <v>0</v>
      </c>
    </row>
    <row r="22" spans="1:13" x14ac:dyDescent="0.25">
      <c r="A22" s="5" t="s">
        <v>58</v>
      </c>
      <c r="B22" s="5" t="s">
        <v>59</v>
      </c>
      <c r="C22" s="6" t="s">
        <v>15</v>
      </c>
      <c r="D22" s="7" t="s">
        <v>22</v>
      </c>
      <c r="E22" s="7" t="s">
        <v>17</v>
      </c>
      <c r="F22" s="7" t="s">
        <v>26</v>
      </c>
      <c r="G22" s="8">
        <v>39.9</v>
      </c>
      <c r="H22" s="9">
        <v>28.24</v>
      </c>
      <c r="I22" s="13">
        <v>15.62</v>
      </c>
      <c r="J22" s="11"/>
      <c r="K22" s="31">
        <f t="shared" si="2"/>
        <v>0</v>
      </c>
      <c r="L22" s="12">
        <f t="shared" si="0"/>
        <v>0</v>
      </c>
      <c r="M22" s="12">
        <f t="shared" si="1"/>
        <v>0</v>
      </c>
    </row>
    <row r="23" spans="1:13" x14ac:dyDescent="0.25">
      <c r="A23" s="5" t="s">
        <v>60</v>
      </c>
      <c r="B23" s="5" t="s">
        <v>61</v>
      </c>
      <c r="C23" s="6" t="s">
        <v>15</v>
      </c>
      <c r="D23" s="7" t="s">
        <v>22</v>
      </c>
      <c r="E23" s="7" t="s">
        <v>17</v>
      </c>
      <c r="F23" s="7" t="s">
        <v>26</v>
      </c>
      <c r="G23" s="8">
        <v>38.85</v>
      </c>
      <c r="H23" s="9">
        <v>27.28</v>
      </c>
      <c r="I23" s="13">
        <v>15.14</v>
      </c>
      <c r="J23" s="11"/>
      <c r="K23" s="31">
        <f t="shared" si="2"/>
        <v>0</v>
      </c>
      <c r="L23" s="12">
        <f t="shared" si="0"/>
        <v>0</v>
      </c>
      <c r="M23" s="12">
        <f t="shared" si="1"/>
        <v>0</v>
      </c>
    </row>
    <row r="24" spans="1:13" x14ac:dyDescent="0.25">
      <c r="A24" s="5" t="s">
        <v>62</v>
      </c>
      <c r="B24" s="5" t="s">
        <v>63</v>
      </c>
      <c r="C24" s="6" t="s">
        <v>15</v>
      </c>
      <c r="D24" s="7" t="s">
        <v>22</v>
      </c>
      <c r="E24" s="7" t="s">
        <v>17</v>
      </c>
      <c r="F24" s="7" t="s">
        <v>18</v>
      </c>
      <c r="G24" s="20">
        <v>29.49</v>
      </c>
      <c r="H24" s="9">
        <v>18.7</v>
      </c>
      <c r="I24" s="13">
        <v>10.85</v>
      </c>
      <c r="J24" s="11"/>
      <c r="K24" s="31">
        <f t="shared" si="2"/>
        <v>0</v>
      </c>
      <c r="L24" s="12">
        <f t="shared" si="0"/>
        <v>0</v>
      </c>
      <c r="M24" s="12">
        <f t="shared" si="1"/>
        <v>0</v>
      </c>
    </row>
    <row r="25" spans="1:13" x14ac:dyDescent="0.25">
      <c r="A25" s="5" t="s">
        <v>64</v>
      </c>
      <c r="B25" s="5" t="s">
        <v>63</v>
      </c>
      <c r="C25" s="6" t="s">
        <v>15</v>
      </c>
      <c r="D25" s="7" t="s">
        <v>22</v>
      </c>
      <c r="E25" s="7" t="s">
        <v>17</v>
      </c>
      <c r="F25" s="7" t="s">
        <v>26</v>
      </c>
      <c r="G25" s="20">
        <v>29.49</v>
      </c>
      <c r="H25" s="9">
        <v>18.7</v>
      </c>
      <c r="I25" s="13">
        <v>10.85</v>
      </c>
      <c r="J25" s="11"/>
      <c r="K25" s="31">
        <f t="shared" si="2"/>
        <v>0</v>
      </c>
      <c r="L25" s="12">
        <f t="shared" si="0"/>
        <v>0</v>
      </c>
      <c r="M25" s="12">
        <f t="shared" si="1"/>
        <v>0</v>
      </c>
    </row>
    <row r="26" spans="1:13" x14ac:dyDescent="0.25">
      <c r="A26" s="5" t="s">
        <v>65</v>
      </c>
      <c r="B26" s="5" t="s">
        <v>66</v>
      </c>
      <c r="C26" s="6" t="s">
        <v>15</v>
      </c>
      <c r="D26" s="7" t="s">
        <v>22</v>
      </c>
      <c r="E26" s="7" t="s">
        <v>17</v>
      </c>
      <c r="F26" s="7" t="s">
        <v>26</v>
      </c>
      <c r="G26" s="8">
        <v>38.85</v>
      </c>
      <c r="H26" s="9">
        <v>27.28</v>
      </c>
      <c r="I26" s="10">
        <v>15.14</v>
      </c>
      <c r="J26" s="11"/>
      <c r="K26" s="31">
        <f t="shared" si="2"/>
        <v>0</v>
      </c>
      <c r="L26" s="12">
        <f t="shared" si="0"/>
        <v>0</v>
      </c>
      <c r="M26" s="12">
        <f t="shared" si="1"/>
        <v>0</v>
      </c>
    </row>
    <row r="27" spans="1:13" x14ac:dyDescent="0.25">
      <c r="A27" s="5" t="s">
        <v>67</v>
      </c>
      <c r="B27" s="5" t="s">
        <v>68</v>
      </c>
      <c r="C27" s="6" t="s">
        <v>15</v>
      </c>
      <c r="D27" s="7" t="s">
        <v>22</v>
      </c>
      <c r="E27" s="7" t="s">
        <v>17</v>
      </c>
      <c r="F27" s="7" t="s">
        <v>26</v>
      </c>
      <c r="G27" s="8">
        <v>36.340000000000003</v>
      </c>
      <c r="H27" s="9">
        <v>24.98</v>
      </c>
      <c r="I27" s="13">
        <v>13.99</v>
      </c>
      <c r="J27" s="11"/>
      <c r="K27" s="31">
        <f t="shared" si="2"/>
        <v>0</v>
      </c>
      <c r="L27" s="12">
        <f t="shared" si="0"/>
        <v>0</v>
      </c>
      <c r="M27" s="12">
        <f t="shared" si="1"/>
        <v>0</v>
      </c>
    </row>
    <row r="28" spans="1:13" x14ac:dyDescent="0.25">
      <c r="A28" s="5" t="s">
        <v>69</v>
      </c>
      <c r="B28" s="5" t="s">
        <v>70</v>
      </c>
      <c r="C28" s="6" t="s">
        <v>15</v>
      </c>
      <c r="D28" s="7" t="s">
        <v>22</v>
      </c>
      <c r="E28" s="7" t="s">
        <v>17</v>
      </c>
      <c r="F28" s="7" t="s">
        <v>26</v>
      </c>
      <c r="G28" s="8"/>
      <c r="H28" s="9"/>
      <c r="I28" s="13">
        <v>1.5</v>
      </c>
      <c r="J28" s="11"/>
      <c r="K28" s="31">
        <f t="shared" si="2"/>
        <v>0</v>
      </c>
      <c r="L28" s="12">
        <f t="shared" si="0"/>
        <v>0</v>
      </c>
      <c r="M28" s="12">
        <f t="shared" si="1"/>
        <v>0</v>
      </c>
    </row>
    <row r="29" spans="1:13" x14ac:dyDescent="0.25">
      <c r="A29" s="21" t="s">
        <v>71</v>
      </c>
      <c r="B29" s="5" t="s">
        <v>72</v>
      </c>
      <c r="C29" s="6" t="s">
        <v>15</v>
      </c>
      <c r="D29" s="7" t="s">
        <v>16</v>
      </c>
      <c r="E29" s="7" t="s">
        <v>23</v>
      </c>
      <c r="F29" s="7" t="s">
        <v>26</v>
      </c>
      <c r="G29" s="8">
        <v>34.72</v>
      </c>
      <c r="H29" s="9">
        <v>23.49</v>
      </c>
      <c r="I29" s="13">
        <v>13.244999999999999</v>
      </c>
      <c r="J29" s="11">
        <v>100</v>
      </c>
      <c r="K29" s="31">
        <f t="shared" si="2"/>
        <v>0</v>
      </c>
      <c r="L29" s="12">
        <f t="shared" si="0"/>
        <v>13.244999999999999</v>
      </c>
      <c r="M29" s="12">
        <f t="shared" si="1"/>
        <v>113.245</v>
      </c>
    </row>
    <row r="30" spans="1:13" x14ac:dyDescent="0.25">
      <c r="A30" s="5" t="s">
        <v>73</v>
      </c>
      <c r="B30" s="5" t="s">
        <v>74</v>
      </c>
      <c r="C30" s="6" t="s">
        <v>15</v>
      </c>
      <c r="D30" s="7" t="s">
        <v>22</v>
      </c>
      <c r="E30" s="7" t="s">
        <v>17</v>
      </c>
      <c r="F30" s="7" t="s">
        <v>26</v>
      </c>
      <c r="G30" s="8">
        <v>31.25</v>
      </c>
      <c r="H30" s="9">
        <v>20.309999999999999</v>
      </c>
      <c r="I30" s="13">
        <v>11.654999999999999</v>
      </c>
      <c r="J30" s="11"/>
      <c r="K30" s="31">
        <f t="shared" si="2"/>
        <v>0</v>
      </c>
      <c r="L30" s="12">
        <f t="shared" si="0"/>
        <v>0</v>
      </c>
      <c r="M30" s="12">
        <f t="shared" si="1"/>
        <v>0</v>
      </c>
    </row>
    <row r="31" spans="1:13" x14ac:dyDescent="0.25">
      <c r="A31" s="22" t="s">
        <v>75</v>
      </c>
      <c r="B31" s="5" t="s">
        <v>56</v>
      </c>
      <c r="C31" s="6" t="s">
        <v>15</v>
      </c>
      <c r="D31" s="7" t="s">
        <v>22</v>
      </c>
      <c r="E31" s="7" t="s">
        <v>17</v>
      </c>
      <c r="F31" s="7" t="s">
        <v>26</v>
      </c>
      <c r="G31" s="17">
        <v>36.619999999999997</v>
      </c>
      <c r="H31" s="18">
        <v>25.23</v>
      </c>
      <c r="I31" s="13">
        <v>14.115</v>
      </c>
      <c r="J31" s="11"/>
      <c r="K31" s="31">
        <f t="shared" si="2"/>
        <v>0</v>
      </c>
      <c r="L31" s="12">
        <f t="shared" si="0"/>
        <v>0</v>
      </c>
      <c r="M31" s="12">
        <f t="shared" si="1"/>
        <v>0</v>
      </c>
    </row>
    <row r="32" spans="1:13" x14ac:dyDescent="0.25">
      <c r="A32" s="22" t="s">
        <v>76</v>
      </c>
      <c r="B32" s="5" t="s">
        <v>56</v>
      </c>
      <c r="C32" s="6" t="s">
        <v>15</v>
      </c>
      <c r="D32" s="7" t="s">
        <v>22</v>
      </c>
      <c r="E32" s="7" t="s">
        <v>17</v>
      </c>
      <c r="F32" s="7" t="s">
        <v>26</v>
      </c>
      <c r="G32" s="17">
        <v>36.619999999999997</v>
      </c>
      <c r="H32" s="18">
        <v>25.23</v>
      </c>
      <c r="I32" s="13">
        <v>14.115</v>
      </c>
      <c r="J32" s="11"/>
      <c r="K32" s="31">
        <f t="shared" si="2"/>
        <v>0</v>
      </c>
      <c r="L32" s="12">
        <f t="shared" si="0"/>
        <v>0</v>
      </c>
      <c r="M32" s="12">
        <f t="shared" si="1"/>
        <v>0</v>
      </c>
    </row>
    <row r="33" spans="1:13" ht="51.75" customHeight="1" x14ac:dyDescent="0.25">
      <c r="A33" s="23" t="s">
        <v>77</v>
      </c>
      <c r="B33" s="16" t="s">
        <v>56</v>
      </c>
      <c r="C33" s="40" t="s">
        <v>15</v>
      </c>
      <c r="D33" s="33" t="s">
        <v>22</v>
      </c>
      <c r="E33" s="33" t="s">
        <v>17</v>
      </c>
      <c r="F33" s="33" t="s">
        <v>18</v>
      </c>
      <c r="G33" s="34">
        <v>36.619999999999997</v>
      </c>
      <c r="H33" s="35">
        <v>25.23</v>
      </c>
      <c r="I33" s="36">
        <v>14.115</v>
      </c>
      <c r="J33" s="37">
        <v>100</v>
      </c>
      <c r="K33" s="38">
        <f>IF(D33="EXTERNA",IF(C33="C/ST",IF(E33="IMPORTADA",J33*G33%,J33*H33%),IF(E33="NACIONAL",J33*H33%,J33*G33%)),0)</f>
        <v>25.230000000000004</v>
      </c>
      <c r="L33" s="39">
        <f t="shared" si="0"/>
        <v>0</v>
      </c>
      <c r="M33" s="39">
        <f t="shared" si="1"/>
        <v>125.23</v>
      </c>
    </row>
    <row r="34" spans="1:13" x14ac:dyDescent="0.25">
      <c r="A34" s="5" t="s">
        <v>78</v>
      </c>
      <c r="B34" s="5" t="s">
        <v>79</v>
      </c>
      <c r="C34" s="6" t="s">
        <v>15</v>
      </c>
      <c r="D34" s="7" t="s">
        <v>22</v>
      </c>
      <c r="E34" s="7" t="s">
        <v>17</v>
      </c>
      <c r="F34" s="7" t="s">
        <v>26</v>
      </c>
      <c r="G34" s="8">
        <v>37.25</v>
      </c>
      <c r="H34" s="9">
        <v>25.81</v>
      </c>
      <c r="I34" s="13">
        <v>14.404999999999999</v>
      </c>
      <c r="J34" s="11"/>
      <c r="K34" s="31">
        <f t="shared" si="2"/>
        <v>0</v>
      </c>
      <c r="L34" s="12">
        <f t="shared" si="0"/>
        <v>0</v>
      </c>
      <c r="M34" s="12">
        <f t="shared" si="1"/>
        <v>0</v>
      </c>
    </row>
    <row r="35" spans="1:13" x14ac:dyDescent="0.25">
      <c r="A35" s="24" t="s">
        <v>80</v>
      </c>
      <c r="B35" s="5" t="s">
        <v>81</v>
      </c>
      <c r="C35" s="6" t="s">
        <v>15</v>
      </c>
      <c r="D35" s="7" t="s">
        <v>22</v>
      </c>
      <c r="E35" s="7" t="s">
        <v>17</v>
      </c>
      <c r="F35" s="7" t="s">
        <v>26</v>
      </c>
      <c r="G35" s="8">
        <v>29.88</v>
      </c>
      <c r="H35" s="9">
        <v>19.05</v>
      </c>
      <c r="I35" s="13">
        <v>11.025</v>
      </c>
      <c r="J35" s="11"/>
      <c r="K35" s="31">
        <f t="shared" si="2"/>
        <v>0</v>
      </c>
      <c r="L35" s="12">
        <f t="shared" si="0"/>
        <v>0</v>
      </c>
      <c r="M35" s="12">
        <f t="shared" si="1"/>
        <v>0</v>
      </c>
    </row>
    <row r="36" spans="1:13" x14ac:dyDescent="0.25">
      <c r="A36" s="5" t="s">
        <v>82</v>
      </c>
      <c r="B36" s="5" t="s">
        <v>83</v>
      </c>
      <c r="C36" s="6" t="s">
        <v>15</v>
      </c>
      <c r="D36" s="7" t="s">
        <v>22</v>
      </c>
      <c r="E36" s="7" t="s">
        <v>17</v>
      </c>
      <c r="F36" s="7" t="s">
        <v>26</v>
      </c>
      <c r="G36" s="8">
        <v>36.340000000000003</v>
      </c>
      <c r="H36" s="9">
        <v>24.98</v>
      </c>
      <c r="I36" s="13">
        <v>13.99</v>
      </c>
      <c r="J36" s="11"/>
      <c r="K36" s="31">
        <f t="shared" si="2"/>
        <v>0</v>
      </c>
      <c r="L36" s="12">
        <f t="shared" si="0"/>
        <v>0</v>
      </c>
      <c r="M36" s="12">
        <f t="shared" si="1"/>
        <v>0</v>
      </c>
    </row>
    <row r="37" spans="1:13" x14ac:dyDescent="0.25">
      <c r="A37" s="5" t="s">
        <v>84</v>
      </c>
      <c r="B37" s="5" t="s">
        <v>85</v>
      </c>
      <c r="C37" s="6" t="s">
        <v>15</v>
      </c>
      <c r="D37" s="7" t="s">
        <v>22</v>
      </c>
      <c r="E37" s="7" t="s">
        <v>17</v>
      </c>
      <c r="F37" s="7" t="s">
        <v>26</v>
      </c>
      <c r="G37" s="8">
        <v>30.51</v>
      </c>
      <c r="H37" s="9">
        <v>19.64</v>
      </c>
      <c r="I37" s="13">
        <v>11.32</v>
      </c>
      <c r="J37" s="11"/>
      <c r="K37" s="31">
        <f t="shared" si="2"/>
        <v>0</v>
      </c>
      <c r="L37" s="12">
        <f t="shared" si="0"/>
        <v>0</v>
      </c>
      <c r="M37" s="12">
        <f t="shared" si="1"/>
        <v>0</v>
      </c>
    </row>
    <row r="38" spans="1:13" x14ac:dyDescent="0.25">
      <c r="A38" s="5" t="s">
        <v>86</v>
      </c>
      <c r="B38" s="5" t="s">
        <v>87</v>
      </c>
      <c r="C38" s="6" t="s">
        <v>15</v>
      </c>
      <c r="D38" s="7" t="s">
        <v>22</v>
      </c>
      <c r="E38" s="7" t="s">
        <v>17</v>
      </c>
      <c r="F38" s="7" t="s">
        <v>26</v>
      </c>
      <c r="G38" s="8">
        <v>35.1</v>
      </c>
      <c r="H38" s="9">
        <v>23.48</v>
      </c>
      <c r="I38" s="10">
        <v>13.24</v>
      </c>
      <c r="J38" s="11"/>
      <c r="K38" s="31">
        <f t="shared" si="2"/>
        <v>0</v>
      </c>
      <c r="L38" s="12">
        <f t="shared" si="0"/>
        <v>0</v>
      </c>
      <c r="M38" s="12">
        <f t="shared" si="1"/>
        <v>0</v>
      </c>
    </row>
    <row r="39" spans="1:13" x14ac:dyDescent="0.25">
      <c r="A39" s="5" t="s">
        <v>88</v>
      </c>
      <c r="B39" s="5" t="s">
        <v>89</v>
      </c>
      <c r="C39" s="6" t="s">
        <v>15</v>
      </c>
      <c r="D39" s="7" t="s">
        <v>22</v>
      </c>
      <c r="E39" s="7" t="s">
        <v>17</v>
      </c>
      <c r="F39" s="7" t="s">
        <v>26</v>
      </c>
      <c r="G39" s="8">
        <v>38.24</v>
      </c>
      <c r="H39" s="9">
        <v>26.72</v>
      </c>
      <c r="I39" s="13">
        <v>14.86</v>
      </c>
      <c r="J39" s="11"/>
      <c r="K39" s="31">
        <f t="shared" si="2"/>
        <v>0</v>
      </c>
      <c r="L39" s="12">
        <f t="shared" si="0"/>
        <v>0</v>
      </c>
      <c r="M39" s="12">
        <f t="shared" si="1"/>
        <v>0</v>
      </c>
    </row>
    <row r="40" spans="1:13" x14ac:dyDescent="0.25">
      <c r="A40" s="5" t="s">
        <v>90</v>
      </c>
      <c r="B40" s="5" t="s">
        <v>91</v>
      </c>
      <c r="C40" s="6" t="s">
        <v>15</v>
      </c>
      <c r="D40" s="7" t="s">
        <v>22</v>
      </c>
      <c r="E40" s="7" t="s">
        <v>17</v>
      </c>
      <c r="F40" s="7" t="s">
        <v>26</v>
      </c>
      <c r="G40" s="8">
        <v>19.84</v>
      </c>
      <c r="H40" s="9">
        <v>9.86</v>
      </c>
      <c r="I40" s="13">
        <v>6.43</v>
      </c>
      <c r="J40" s="11"/>
      <c r="K40" s="31">
        <f t="shared" si="2"/>
        <v>0</v>
      </c>
      <c r="L40" s="12">
        <f t="shared" si="0"/>
        <v>0</v>
      </c>
      <c r="M40" s="12">
        <f t="shared" si="1"/>
        <v>0</v>
      </c>
    </row>
    <row r="41" spans="1:13" x14ac:dyDescent="0.25">
      <c r="A41" s="5" t="s">
        <v>92</v>
      </c>
      <c r="B41" s="5" t="s">
        <v>93</v>
      </c>
      <c r="C41" s="6" t="s">
        <v>15</v>
      </c>
      <c r="D41" s="7" t="s">
        <v>22</v>
      </c>
      <c r="E41" s="7" t="s">
        <v>17</v>
      </c>
      <c r="F41" s="7" t="s">
        <v>26</v>
      </c>
      <c r="G41" s="8">
        <v>21.34</v>
      </c>
      <c r="H41" s="9">
        <v>11.32</v>
      </c>
      <c r="I41" s="13">
        <v>7.16</v>
      </c>
      <c r="J41" s="11"/>
      <c r="K41" s="31">
        <f t="shared" si="2"/>
        <v>0</v>
      </c>
      <c r="L41" s="12">
        <f t="shared" si="0"/>
        <v>0</v>
      </c>
      <c r="M41" s="12">
        <f t="shared" si="1"/>
        <v>0</v>
      </c>
    </row>
    <row r="42" spans="1:13" x14ac:dyDescent="0.25">
      <c r="A42" s="5" t="s">
        <v>94</v>
      </c>
      <c r="B42" s="5" t="s">
        <v>63</v>
      </c>
      <c r="C42" s="6" t="s">
        <v>15</v>
      </c>
      <c r="D42" s="7" t="s">
        <v>22</v>
      </c>
      <c r="E42" s="7" t="s">
        <v>17</v>
      </c>
      <c r="F42" s="7" t="s">
        <v>26</v>
      </c>
      <c r="G42" s="8">
        <v>34.19</v>
      </c>
      <c r="H42" s="9">
        <v>23.01</v>
      </c>
      <c r="I42" s="13">
        <v>13.005000000000001</v>
      </c>
      <c r="J42" s="11"/>
      <c r="K42" s="31">
        <f t="shared" si="2"/>
        <v>0</v>
      </c>
      <c r="L42" s="12">
        <f t="shared" si="0"/>
        <v>0</v>
      </c>
      <c r="M42" s="12">
        <f t="shared" si="1"/>
        <v>0</v>
      </c>
    </row>
    <row r="43" spans="1:13" x14ac:dyDescent="0.25">
      <c r="A43" s="5" t="s">
        <v>95</v>
      </c>
      <c r="B43" s="5" t="s">
        <v>63</v>
      </c>
      <c r="C43" s="6" t="s">
        <v>15</v>
      </c>
      <c r="D43" s="7" t="s">
        <v>22</v>
      </c>
      <c r="E43" s="7" t="s">
        <v>17</v>
      </c>
      <c r="F43" s="7" t="s">
        <v>26</v>
      </c>
      <c r="G43" s="8"/>
      <c r="H43" s="9"/>
      <c r="I43" s="13">
        <v>1.5</v>
      </c>
      <c r="J43" s="11"/>
      <c r="K43" s="31">
        <f t="shared" si="2"/>
        <v>0</v>
      </c>
      <c r="L43" s="12">
        <f t="shared" si="0"/>
        <v>0</v>
      </c>
      <c r="M43" s="12">
        <f t="shared" si="1"/>
        <v>0</v>
      </c>
    </row>
    <row r="44" spans="1:13" x14ac:dyDescent="0.25">
      <c r="A44" s="5" t="s">
        <v>96</v>
      </c>
      <c r="B44" s="5" t="s">
        <v>97</v>
      </c>
      <c r="C44" s="6" t="s">
        <v>15</v>
      </c>
      <c r="D44" s="7" t="s">
        <v>22</v>
      </c>
      <c r="E44" s="7" t="s">
        <v>17</v>
      </c>
      <c r="F44" s="7" t="s">
        <v>26</v>
      </c>
      <c r="G44" s="8">
        <v>21.37</v>
      </c>
      <c r="H44" s="9">
        <v>11.25</v>
      </c>
      <c r="I44" s="13">
        <v>7.125</v>
      </c>
      <c r="J44" s="11"/>
      <c r="K44" s="31">
        <f t="shared" si="2"/>
        <v>0</v>
      </c>
      <c r="L44" s="12">
        <f t="shared" si="0"/>
        <v>0</v>
      </c>
      <c r="M44" s="12">
        <f t="shared" si="1"/>
        <v>0</v>
      </c>
    </row>
    <row r="45" spans="1:13" x14ac:dyDescent="0.25">
      <c r="A45" s="5" t="s">
        <v>98</v>
      </c>
      <c r="B45" s="5" t="s">
        <v>99</v>
      </c>
      <c r="C45" s="6" t="s">
        <v>15</v>
      </c>
      <c r="D45" s="7" t="s">
        <v>16</v>
      </c>
      <c r="E45" s="7" t="s">
        <v>17</v>
      </c>
      <c r="F45" s="7" t="s">
        <v>18</v>
      </c>
      <c r="G45" s="8">
        <v>39.57</v>
      </c>
      <c r="H45" s="9">
        <v>27.94</v>
      </c>
      <c r="I45" s="13">
        <v>15.47</v>
      </c>
      <c r="J45" s="11"/>
      <c r="K45" s="31">
        <f t="shared" si="2"/>
        <v>0</v>
      </c>
      <c r="L45" s="12">
        <f t="shared" si="0"/>
        <v>0</v>
      </c>
      <c r="M45" s="12">
        <f t="shared" si="1"/>
        <v>0</v>
      </c>
    </row>
    <row r="46" spans="1:13" x14ac:dyDescent="0.25">
      <c r="A46" s="5" t="s">
        <v>100</v>
      </c>
      <c r="B46" s="5" t="s">
        <v>99</v>
      </c>
      <c r="C46" s="6" t="s">
        <v>15</v>
      </c>
      <c r="D46" s="7" t="s">
        <v>22</v>
      </c>
      <c r="E46" s="7" t="s">
        <v>17</v>
      </c>
      <c r="F46" s="7" t="s">
        <v>26</v>
      </c>
      <c r="G46" s="8">
        <v>39.57</v>
      </c>
      <c r="H46" s="9">
        <v>27.94</v>
      </c>
      <c r="I46" s="13">
        <v>15.47</v>
      </c>
      <c r="J46" s="11"/>
      <c r="K46" s="31">
        <f t="shared" si="2"/>
        <v>0</v>
      </c>
      <c r="L46" s="12">
        <f t="shared" si="0"/>
        <v>0</v>
      </c>
      <c r="M46" s="12">
        <f t="shared" si="1"/>
        <v>0</v>
      </c>
    </row>
    <row r="47" spans="1:13" x14ac:dyDescent="0.25">
      <c r="A47" s="5" t="s">
        <v>101</v>
      </c>
      <c r="B47" s="5" t="s">
        <v>102</v>
      </c>
      <c r="C47" s="6" t="s">
        <v>15</v>
      </c>
      <c r="D47" s="7" t="s">
        <v>22</v>
      </c>
      <c r="E47" s="7" t="s">
        <v>17</v>
      </c>
      <c r="F47" s="7" t="s">
        <v>26</v>
      </c>
      <c r="G47" s="8">
        <v>31.09</v>
      </c>
      <c r="H47" s="9">
        <v>20.16</v>
      </c>
      <c r="I47" s="13">
        <v>11.58</v>
      </c>
      <c r="J47" s="11"/>
      <c r="K47" s="31">
        <f t="shared" si="2"/>
        <v>0</v>
      </c>
      <c r="L47" s="12">
        <f t="shared" si="0"/>
        <v>0</v>
      </c>
      <c r="M47" s="12">
        <f t="shared" si="1"/>
        <v>0</v>
      </c>
    </row>
    <row r="48" spans="1:13" x14ac:dyDescent="0.25">
      <c r="A48" s="5" t="s">
        <v>103</v>
      </c>
      <c r="B48" s="5" t="s">
        <v>104</v>
      </c>
      <c r="C48" s="6" t="s">
        <v>15</v>
      </c>
      <c r="D48" s="7" t="s">
        <v>22</v>
      </c>
      <c r="E48" s="7" t="s">
        <v>17</v>
      </c>
      <c r="F48" s="7" t="s">
        <v>26</v>
      </c>
      <c r="G48" s="8">
        <v>37.31</v>
      </c>
      <c r="H48" s="9">
        <v>25.87</v>
      </c>
      <c r="I48" s="13">
        <v>14.435</v>
      </c>
      <c r="J48" s="11"/>
      <c r="K48" s="31">
        <f t="shared" si="2"/>
        <v>0</v>
      </c>
      <c r="L48" s="12">
        <f t="shared" si="0"/>
        <v>0</v>
      </c>
      <c r="M48" s="12">
        <f t="shared" si="1"/>
        <v>0</v>
      </c>
    </row>
    <row r="49" spans="1:13" x14ac:dyDescent="0.25">
      <c r="A49" s="5" t="s">
        <v>105</v>
      </c>
      <c r="B49" s="5" t="s">
        <v>106</v>
      </c>
      <c r="C49" s="6" t="s">
        <v>15</v>
      </c>
      <c r="D49" s="7" t="s">
        <v>22</v>
      </c>
      <c r="E49" s="7" t="s">
        <v>17</v>
      </c>
      <c r="F49" s="7" t="s">
        <v>26</v>
      </c>
      <c r="G49" s="8">
        <v>47.49</v>
      </c>
      <c r="H49" s="9">
        <v>35.200000000000003</v>
      </c>
      <c r="I49" s="13">
        <v>19.100000000000001</v>
      </c>
      <c r="J49" s="11"/>
      <c r="K49" s="31">
        <f t="shared" si="2"/>
        <v>0</v>
      </c>
      <c r="L49" s="12">
        <f t="shared" si="0"/>
        <v>0</v>
      </c>
      <c r="M49" s="12">
        <f t="shared" si="1"/>
        <v>0</v>
      </c>
    </row>
    <row r="50" spans="1:13" x14ac:dyDescent="0.25">
      <c r="A50" s="25" t="s">
        <v>107</v>
      </c>
      <c r="B50" s="25" t="s">
        <v>108</v>
      </c>
      <c r="C50" s="6" t="s">
        <v>15</v>
      </c>
      <c r="D50" s="7" t="s">
        <v>22</v>
      </c>
      <c r="E50" s="7" t="s">
        <v>17</v>
      </c>
      <c r="F50" s="7" t="s">
        <v>26</v>
      </c>
      <c r="G50" s="13">
        <v>38.43</v>
      </c>
      <c r="H50" s="26">
        <v>26.9</v>
      </c>
      <c r="I50" s="10">
        <v>14.95</v>
      </c>
      <c r="J50" s="11"/>
      <c r="K50" s="31">
        <f t="shared" si="2"/>
        <v>0</v>
      </c>
      <c r="L50" s="12">
        <f t="shared" si="0"/>
        <v>0</v>
      </c>
      <c r="M50" s="12">
        <f t="shared" si="1"/>
        <v>0</v>
      </c>
    </row>
    <row r="51" spans="1:13" x14ac:dyDescent="0.25">
      <c r="A51" s="25" t="s">
        <v>109</v>
      </c>
      <c r="B51" s="25" t="s">
        <v>108</v>
      </c>
      <c r="C51" s="6" t="s">
        <v>15</v>
      </c>
      <c r="D51" s="7" t="s">
        <v>22</v>
      </c>
      <c r="E51" s="7" t="s">
        <v>17</v>
      </c>
      <c r="F51" s="7" t="s">
        <v>26</v>
      </c>
      <c r="G51" s="13">
        <v>38.43</v>
      </c>
      <c r="H51" s="26">
        <v>26.9</v>
      </c>
      <c r="I51" s="13">
        <v>14.95</v>
      </c>
      <c r="J51" s="11"/>
      <c r="K51" s="31">
        <f t="shared" si="2"/>
        <v>0</v>
      </c>
      <c r="L51" s="12">
        <f t="shared" si="0"/>
        <v>0</v>
      </c>
      <c r="M51" s="12">
        <f t="shared" si="1"/>
        <v>0</v>
      </c>
    </row>
    <row r="52" spans="1:13" x14ac:dyDescent="0.25">
      <c r="A52" s="5" t="s">
        <v>110</v>
      </c>
      <c r="B52" s="5" t="s">
        <v>111</v>
      </c>
      <c r="C52" s="6" t="s">
        <v>15</v>
      </c>
      <c r="D52" s="7" t="s">
        <v>22</v>
      </c>
      <c r="E52" s="7" t="s">
        <v>17</v>
      </c>
      <c r="F52" s="7" t="s">
        <v>26</v>
      </c>
      <c r="G52" s="8">
        <v>39.950000000000003</v>
      </c>
      <c r="H52" s="9">
        <v>28.29</v>
      </c>
      <c r="I52" s="13">
        <v>15.645</v>
      </c>
      <c r="J52" s="11"/>
      <c r="K52" s="31">
        <f t="shared" si="2"/>
        <v>0</v>
      </c>
      <c r="L52" s="12">
        <f t="shared" si="0"/>
        <v>0</v>
      </c>
      <c r="M52" s="12">
        <f t="shared" si="1"/>
        <v>0</v>
      </c>
    </row>
    <row r="53" spans="1:13" x14ac:dyDescent="0.25">
      <c r="A53" s="5" t="s">
        <v>112</v>
      </c>
      <c r="B53" s="5" t="s">
        <v>113</v>
      </c>
      <c r="C53" s="6" t="s">
        <v>15</v>
      </c>
      <c r="D53" s="7" t="s">
        <v>16</v>
      </c>
      <c r="E53" s="7" t="s">
        <v>17</v>
      </c>
      <c r="F53" s="7" t="s">
        <v>26</v>
      </c>
      <c r="G53" s="8">
        <v>39.44</v>
      </c>
      <c r="H53" s="9">
        <v>27.82</v>
      </c>
      <c r="I53" s="13">
        <v>15.41</v>
      </c>
      <c r="J53" s="11"/>
      <c r="K53" s="31">
        <f t="shared" si="2"/>
        <v>0</v>
      </c>
      <c r="L53" s="12">
        <f t="shared" si="0"/>
        <v>0</v>
      </c>
      <c r="M53" s="12">
        <f t="shared" si="1"/>
        <v>0</v>
      </c>
    </row>
    <row r="54" spans="1:13" x14ac:dyDescent="0.25">
      <c r="A54" s="5" t="s">
        <v>114</v>
      </c>
      <c r="B54" s="5" t="s">
        <v>115</v>
      </c>
      <c r="C54" s="6" t="s">
        <v>15</v>
      </c>
      <c r="D54" s="7" t="s">
        <v>22</v>
      </c>
      <c r="E54" s="7" t="s">
        <v>17</v>
      </c>
      <c r="F54" s="7" t="s">
        <v>26</v>
      </c>
      <c r="G54" s="8">
        <v>37.49</v>
      </c>
      <c r="H54" s="9">
        <v>26.03</v>
      </c>
      <c r="I54" s="13">
        <v>14.515000000000001</v>
      </c>
      <c r="J54" s="11"/>
      <c r="K54" s="31">
        <f t="shared" si="2"/>
        <v>0</v>
      </c>
      <c r="L54" s="12">
        <f t="shared" si="0"/>
        <v>0</v>
      </c>
      <c r="M54" s="12">
        <f t="shared" si="1"/>
        <v>0</v>
      </c>
    </row>
    <row r="55" spans="1:13" x14ac:dyDescent="0.25">
      <c r="A55" s="5" t="s">
        <v>116</v>
      </c>
      <c r="B55" s="5" t="s">
        <v>117</v>
      </c>
      <c r="C55" s="6" t="s">
        <v>15</v>
      </c>
      <c r="D55" s="7" t="s">
        <v>22</v>
      </c>
      <c r="E55" s="7" t="s">
        <v>17</v>
      </c>
      <c r="F55" s="7" t="s">
        <v>26</v>
      </c>
      <c r="G55" s="8">
        <v>31.09</v>
      </c>
      <c r="H55" s="9">
        <v>20.16</v>
      </c>
      <c r="I55" s="13">
        <v>11.58</v>
      </c>
      <c r="J55" s="11"/>
      <c r="K55" s="31">
        <f t="shared" si="2"/>
        <v>0</v>
      </c>
      <c r="L55" s="12">
        <f t="shared" si="0"/>
        <v>0</v>
      </c>
      <c r="M55" s="12">
        <f t="shared" si="1"/>
        <v>0</v>
      </c>
    </row>
    <row r="56" spans="1:13" x14ac:dyDescent="0.25">
      <c r="A56" s="5" t="s">
        <v>118</v>
      </c>
      <c r="B56" s="5" t="s">
        <v>119</v>
      </c>
      <c r="C56" s="6" t="s">
        <v>15</v>
      </c>
      <c r="D56" s="7" t="s">
        <v>16</v>
      </c>
      <c r="E56" s="7" t="s">
        <v>17</v>
      </c>
      <c r="F56" s="7" t="s">
        <v>26</v>
      </c>
      <c r="G56" s="8">
        <v>16.899999999999999</v>
      </c>
      <c r="H56" s="9">
        <v>7.16</v>
      </c>
      <c r="I56" s="14">
        <v>5.08</v>
      </c>
      <c r="J56" s="11"/>
      <c r="K56" s="31">
        <f t="shared" si="2"/>
        <v>0</v>
      </c>
      <c r="L56" s="12">
        <f t="shared" si="0"/>
        <v>0</v>
      </c>
      <c r="M56" s="12">
        <f t="shared" si="1"/>
        <v>0</v>
      </c>
    </row>
    <row r="57" spans="1:13" x14ac:dyDescent="0.25">
      <c r="A57" s="5" t="s">
        <v>120</v>
      </c>
      <c r="B57" s="5" t="s">
        <v>121</v>
      </c>
      <c r="C57" s="6" t="s">
        <v>15</v>
      </c>
      <c r="D57" s="7" t="s">
        <v>22</v>
      </c>
      <c r="E57" s="7" t="s">
        <v>17</v>
      </c>
      <c r="F57" s="7" t="s">
        <v>26</v>
      </c>
      <c r="G57" s="8">
        <v>37.119999999999997</v>
      </c>
      <c r="H57" s="9">
        <v>25.69</v>
      </c>
      <c r="I57" s="13">
        <v>14.345000000000001</v>
      </c>
      <c r="J57" s="11"/>
      <c r="K57" s="31">
        <f t="shared" si="2"/>
        <v>0</v>
      </c>
      <c r="L57" s="12">
        <f t="shared" si="0"/>
        <v>0</v>
      </c>
      <c r="M57" s="12">
        <f t="shared" si="1"/>
        <v>0</v>
      </c>
    </row>
    <row r="58" spans="1:13" x14ac:dyDescent="0.25">
      <c r="A58" s="5" t="s">
        <v>122</v>
      </c>
      <c r="B58" s="5" t="s">
        <v>123</v>
      </c>
      <c r="C58" s="6" t="s">
        <v>15</v>
      </c>
      <c r="D58" s="7" t="s">
        <v>22</v>
      </c>
      <c r="E58" s="7" t="s">
        <v>17</v>
      </c>
      <c r="F58" s="7" t="s">
        <v>26</v>
      </c>
      <c r="G58" s="8">
        <v>37.69</v>
      </c>
      <c r="H58" s="9">
        <v>26.21</v>
      </c>
      <c r="I58" s="13">
        <v>14.605</v>
      </c>
      <c r="J58" s="11"/>
      <c r="K58" s="31">
        <f t="shared" si="2"/>
        <v>0</v>
      </c>
      <c r="L58" s="12">
        <f t="shared" si="0"/>
        <v>0</v>
      </c>
      <c r="M58" s="12">
        <f t="shared" si="1"/>
        <v>0</v>
      </c>
    </row>
    <row r="59" spans="1:13" x14ac:dyDescent="0.25">
      <c r="A59" s="5" t="s">
        <v>124</v>
      </c>
      <c r="B59" s="5" t="s">
        <v>125</v>
      </c>
      <c r="C59" s="6" t="s">
        <v>15</v>
      </c>
      <c r="D59" s="7" t="s">
        <v>22</v>
      </c>
      <c r="E59" s="7" t="s">
        <v>17</v>
      </c>
      <c r="F59" s="7" t="s">
        <v>26</v>
      </c>
      <c r="G59" s="8">
        <v>32.020000000000003</v>
      </c>
      <c r="H59" s="9">
        <v>21.02</v>
      </c>
      <c r="I59" s="13">
        <v>12.01</v>
      </c>
      <c r="J59" s="11"/>
      <c r="K59" s="31">
        <f t="shared" si="2"/>
        <v>0</v>
      </c>
      <c r="L59" s="12">
        <f t="shared" si="0"/>
        <v>0</v>
      </c>
      <c r="M59" s="12">
        <f t="shared" si="1"/>
        <v>0</v>
      </c>
    </row>
    <row r="60" spans="1:13" x14ac:dyDescent="0.25">
      <c r="A60" s="6" t="s">
        <v>126</v>
      </c>
      <c r="B60" s="5" t="s">
        <v>127</v>
      </c>
      <c r="C60" s="6" t="s">
        <v>15</v>
      </c>
      <c r="D60" s="7" t="s">
        <v>22</v>
      </c>
      <c r="E60" s="7" t="s">
        <v>17</v>
      </c>
      <c r="F60" s="7" t="s">
        <v>26</v>
      </c>
      <c r="G60" s="27">
        <v>32.020000000000003</v>
      </c>
      <c r="H60" s="28">
        <v>19.2</v>
      </c>
      <c r="I60" s="13">
        <v>11.1</v>
      </c>
      <c r="J60" s="11"/>
      <c r="K60" s="31">
        <f t="shared" si="2"/>
        <v>0</v>
      </c>
      <c r="L60" s="12">
        <f t="shared" si="0"/>
        <v>0</v>
      </c>
      <c r="M60" s="12">
        <f t="shared" si="1"/>
        <v>0</v>
      </c>
    </row>
    <row r="61" spans="1:13" x14ac:dyDescent="0.25">
      <c r="A61" s="6" t="s">
        <v>128</v>
      </c>
      <c r="B61" s="6" t="s">
        <v>129</v>
      </c>
      <c r="C61" s="6" t="s">
        <v>15</v>
      </c>
      <c r="D61" s="7" t="s">
        <v>16</v>
      </c>
      <c r="E61" s="7" t="s">
        <v>23</v>
      </c>
      <c r="F61" s="7" t="s">
        <v>26</v>
      </c>
      <c r="G61" s="27">
        <v>32</v>
      </c>
      <c r="H61" s="28">
        <v>17</v>
      </c>
      <c r="I61" s="13">
        <v>10</v>
      </c>
      <c r="J61" s="11"/>
      <c r="K61" s="31">
        <f t="shared" si="2"/>
        <v>0</v>
      </c>
      <c r="L61" s="12">
        <f t="shared" si="0"/>
        <v>0</v>
      </c>
      <c r="M61" s="12">
        <f t="shared" si="1"/>
        <v>0</v>
      </c>
    </row>
    <row r="62" spans="1:13" x14ac:dyDescent="0.25">
      <c r="A62" s="6" t="s">
        <v>130</v>
      </c>
      <c r="B62" s="6" t="s">
        <v>131</v>
      </c>
      <c r="C62" s="6" t="s">
        <v>15</v>
      </c>
      <c r="D62" s="7" t="s">
        <v>16</v>
      </c>
      <c r="E62" s="7" t="s">
        <v>17</v>
      </c>
      <c r="F62" s="7" t="s">
        <v>26</v>
      </c>
      <c r="G62" s="27">
        <v>12</v>
      </c>
      <c r="H62" s="28">
        <v>9.5</v>
      </c>
      <c r="I62" s="10">
        <v>6.25</v>
      </c>
      <c r="J62" s="11"/>
      <c r="K62" s="31">
        <f t="shared" si="2"/>
        <v>0</v>
      </c>
      <c r="L62" s="12">
        <f t="shared" si="0"/>
        <v>0</v>
      </c>
      <c r="M62" s="12">
        <f t="shared" si="1"/>
        <v>0</v>
      </c>
    </row>
    <row r="63" spans="1:13" x14ac:dyDescent="0.25">
      <c r="A63" s="29" t="s">
        <v>138</v>
      </c>
      <c r="B63" s="16" t="s">
        <v>52</v>
      </c>
      <c r="C63" t="s">
        <v>137</v>
      </c>
      <c r="D63" s="7" t="s">
        <v>22</v>
      </c>
      <c r="E63" s="7" t="s">
        <v>17</v>
      </c>
      <c r="F63" s="7" t="s">
        <v>18</v>
      </c>
      <c r="G63" s="27">
        <v>18</v>
      </c>
      <c r="H63" s="6">
        <v>10</v>
      </c>
      <c r="I63" s="6">
        <v>0</v>
      </c>
      <c r="J63" s="6"/>
      <c r="K63" s="31">
        <f t="shared" si="2"/>
        <v>0</v>
      </c>
      <c r="L63" s="12">
        <f t="shared" si="0"/>
        <v>0</v>
      </c>
      <c r="M63" s="12">
        <f t="shared" si="1"/>
        <v>0</v>
      </c>
    </row>
  </sheetData>
  <dataValidations count="3">
    <dataValidation type="list" allowBlank="1" showInputMessage="1" showErrorMessage="1" sqref="D2:D63" xr:uid="{2AB2F1F0-A158-4055-AF96-01F25CAB01B5}">
      <formula1>"EXTERNA,INTERNA"</formula1>
    </dataValidation>
    <dataValidation type="list" allowBlank="1" showInputMessage="1" showErrorMessage="1" sqref="E2:E63" xr:uid="{8F741082-0E5B-4257-8860-1D5BF5832534}">
      <formula1>"NACIONAL,IMPORTADA"</formula1>
    </dataValidation>
    <dataValidation type="list" allowBlank="1" showInputMessage="1" showErrorMessage="1" sqref="F2:F63" xr:uid="{916FBABE-D11C-49DB-93E4-0D6D331F275E}">
      <formula1>"SIM,NÃO"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CONSULTA</vt:lpstr>
      <vt:lpstr>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 Felipe | Platinum TI</dc:creator>
  <cp:lastModifiedBy>Suporte Platinum</cp:lastModifiedBy>
  <dcterms:created xsi:type="dcterms:W3CDTF">2024-08-28T17:16:24Z</dcterms:created>
  <dcterms:modified xsi:type="dcterms:W3CDTF">2025-02-26T13:47:02Z</dcterms:modified>
</cp:coreProperties>
</file>