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atinumtele.sharepoint.com/sites/platinum/Documentos Partilhados/Departamentos/Calculadora Base Dupla/"/>
    </mc:Choice>
  </mc:AlternateContent>
  <xr:revisionPtr revIDLastSave="40" documentId="13_ncr:1_{537D4081-2431-4287-941A-7E14FD676B69}" xr6:coauthVersionLast="47" xr6:coauthVersionMax="47" xr10:uidLastSave="{70D058DA-6232-40D0-A251-7E2213C854F4}"/>
  <bookViews>
    <workbookView xWindow="20370" yWindow="-120" windowWidth="20730" windowHeight="11040" xr2:uid="{E37605CF-EFF4-4434-9E97-DCA2FE9B8D6C}"/>
  </bookViews>
  <sheets>
    <sheet name="CFOP 6403" sheetId="1" r:id="rId1"/>
    <sheet name="CFOP 6108" sheetId="3" r:id="rId2"/>
    <sheet name="Planilha1" sheetId="4" r:id="rId3"/>
  </sheets>
  <definedNames>
    <definedName name="_xlnm._FilterDatabase" localSheetId="1" hidden="1">'CFOP 6108'!$F$18:$J$44</definedName>
    <definedName name="_Hlk77758882" localSheetId="0">'CFOP 6403'!$B$9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19" i="3"/>
  <c r="B7" i="3"/>
  <c r="B8" i="3" s="1"/>
  <c r="B83" i="1"/>
  <c r="B84" i="1" s="1"/>
  <c r="B85" i="1" s="1"/>
  <c r="B86" i="1" s="1"/>
  <c r="B46" i="1"/>
  <c r="B47" i="1" s="1"/>
  <c r="B48" i="1" s="1"/>
  <c r="B49" i="1" s="1"/>
  <c r="B22" i="1"/>
  <c r="B23" i="1" s="1"/>
  <c r="B24" i="1" s="1"/>
  <c r="B25" i="1" s="1"/>
  <c r="B119" i="1"/>
  <c r="B120" i="1" s="1"/>
  <c r="B121" i="1" s="1"/>
  <c r="B107" i="1"/>
  <c r="B108" i="1" s="1"/>
  <c r="B109" i="1" s="1"/>
  <c r="B11" i="3"/>
  <c r="B13" i="3" s="1"/>
  <c r="C6" i="3"/>
  <c r="B95" i="1"/>
  <c r="B96" i="1" s="1"/>
  <c r="B97" i="1" s="1"/>
  <c r="B98" i="1" s="1"/>
  <c r="B58" i="1"/>
  <c r="B59" i="1" s="1"/>
  <c r="B60" i="1" s="1"/>
  <c r="B61" i="1" s="1"/>
  <c r="B10" i="1"/>
  <c r="B11" i="1" s="1"/>
  <c r="B71" i="1"/>
  <c r="B72" i="1" s="1"/>
  <c r="B73" i="1" s="1"/>
  <c r="B34" i="1"/>
  <c r="B35" i="1" s="1"/>
  <c r="B36" i="1" s="1"/>
  <c r="B122" i="1" l="1"/>
  <c r="B110" i="1"/>
  <c r="B10" i="3"/>
  <c r="C11" i="3"/>
  <c r="B37" i="1"/>
  <c r="B12" i="1"/>
  <c r="B13" i="1" s="1"/>
  <c r="B74" i="1"/>
  <c r="B131" i="1"/>
  <c r="B132" i="1" s="1"/>
  <c r="B133" i="1" s="1"/>
  <c r="B15" i="3" l="1"/>
  <c r="B16" i="3" s="1"/>
  <c r="B14" i="3"/>
  <c r="B134" i="1"/>
  <c r="B18" i="3" l="1"/>
  <c r="B19" i="3" s="1"/>
  <c r="B20" i="3" s="1"/>
</calcChain>
</file>

<file path=xl/sharedStrings.xml><?xml version="1.0" encoding="utf-8"?>
<sst xmlns="http://schemas.openxmlformats.org/spreadsheetml/2006/main" count="369" uniqueCount="174">
  <si>
    <t>valor produto</t>
  </si>
  <si>
    <t>Icms Interestadual</t>
  </si>
  <si>
    <t>Vr. ICMS Interstadual</t>
  </si>
  <si>
    <t>BC ICMS ST</t>
  </si>
  <si>
    <t>ICMS ST/DIFAL</t>
  </si>
  <si>
    <t>(BC ICMS STx18%-VR ICMS interestadual)</t>
  </si>
  <si>
    <t>VR Total da NFE</t>
  </si>
  <si>
    <t>(Vr produto + Difal)</t>
  </si>
  <si>
    <t>% (4, 7 ou 12)</t>
  </si>
  <si>
    <t>(Vr do produto x %ICMS interestadual)</t>
  </si>
  <si>
    <t>(onde 100%-18%=0,82)</t>
  </si>
  <si>
    <t>Campos Nfe</t>
  </si>
  <si>
    <t>Explicação</t>
  </si>
  <si>
    <t>Fórmula</t>
  </si>
  <si>
    <t>(custo + margem)</t>
  </si>
  <si>
    <t>Base dupla de ICMS para vendas Interestadual - Contribuinte Com ST - CFOP 6403</t>
  </si>
  <si>
    <t>(onde 100%-17%=0,83)</t>
  </si>
  <si>
    <t>(Base Dupla: Vrproduto-VrICMS/0,83)</t>
  </si>
  <si>
    <t>(BC ICMS STx17%-VR ICMS interestadual)</t>
  </si>
  <si>
    <t>Vr do produto</t>
  </si>
  <si>
    <t>Lei da Base Dupla para DIFAL - Lei Complementar 87/96 art.13 Paragrafo 1º inciso I</t>
  </si>
  <si>
    <t>Base única - Venda Interestadual para Não Contribuinte - CFOP 6108</t>
  </si>
  <si>
    <t>Valor do produto</t>
  </si>
  <si>
    <t>(custo + Margem)</t>
  </si>
  <si>
    <t>Novo Valor do produto</t>
  </si>
  <si>
    <t>(% 4, 7 ou 12)</t>
  </si>
  <si>
    <t>Prova Real</t>
  </si>
  <si>
    <t>Vlr.simples produto</t>
  </si>
  <si>
    <t>O valor do produto tem que compor a BC do icms de destino</t>
  </si>
  <si>
    <t>(12%) = Vr final /107,32 x 100</t>
  </si>
  <si>
    <t>(7%) = Vlr final / 113,41 x 100</t>
  </si>
  <si>
    <t>(4%) = Vlr final /117,07 x 100</t>
  </si>
  <si>
    <t>Calculo a partir do vlr final</t>
  </si>
  <si>
    <t>(12%) = Vr final /106,02 x 100</t>
  </si>
  <si>
    <t>(7%) = Vlr final / 112,05 x 100</t>
  </si>
  <si>
    <t>(4%) = Vlr final /115,66 x 100</t>
  </si>
  <si>
    <t>(18%) = Vlr final x 0,82</t>
  </si>
  <si>
    <t>quando o distribuidor enviar zerado, aplicar imposto no custo</t>
  </si>
  <si>
    <t>se comprou por 100 e é nacional aplica 12% no custo</t>
  </si>
  <si>
    <t>(onde 100%-19%=0,81)</t>
  </si>
  <si>
    <t>(onde 100%-20%=0,80)</t>
  </si>
  <si>
    <t>PI</t>
  </si>
  <si>
    <t>RO</t>
  </si>
  <si>
    <t>(20%) = Vlr final x 0,80</t>
  </si>
  <si>
    <t>(19%) = Vlr final x 0,81</t>
  </si>
  <si>
    <t>ESTADOS DE DESTINO</t>
  </si>
  <si>
    <t>ESTADO DE DESTINO</t>
  </si>
  <si>
    <t>(Base Dupla: Vrproduto-VrICMS/0,81)</t>
  </si>
  <si>
    <t>(BC ICMS STx19%-VR ICMS interestadual)</t>
  </si>
  <si>
    <t>(Base Dupla: Vrproduto-VrICMS/0,80)</t>
  </si>
  <si>
    <t>(BC ICMS STx20%-VR ICMS interestadual)</t>
  </si>
  <si>
    <t>(Base Dupla: Vrproduto-VrICMS/0,79)</t>
  </si>
  <si>
    <t>(12%) = Vr final /108,64 x 100</t>
  </si>
  <si>
    <t>(7%) = Vlr final / 114,81 x 100</t>
  </si>
  <si>
    <t>(4%) = Vlr final /118,52 x 100</t>
  </si>
  <si>
    <t>(12%) = Vr final /110,00 x 100</t>
  </si>
  <si>
    <t>(7%) = Vlr final / 116,25 x 100</t>
  </si>
  <si>
    <t>(4%) = Vlr final /120,00 x 100</t>
  </si>
  <si>
    <t>(17%) = Vlr final x 0,83</t>
  </si>
  <si>
    <t>Usando ICMS do estado de destino 17%</t>
  </si>
  <si>
    <t>Usando ICMS do estado de destino 18%</t>
  </si>
  <si>
    <t>Usando ICMS do estado de destino 19%</t>
  </si>
  <si>
    <t>Usando ICMS do estado de destino 20%</t>
  </si>
  <si>
    <t>(onde 100%-19,5%=0,805)</t>
  </si>
  <si>
    <t>PR</t>
  </si>
  <si>
    <t>(19,5%) = Vlr final x 0,805</t>
  </si>
  <si>
    <t>(4%) = Vlr final /119,25 x 100</t>
  </si>
  <si>
    <t>(7%) = Vlr final / 115,53 x 100</t>
  </si>
  <si>
    <t>(12%) = Vr final /109,32 x 100</t>
  </si>
  <si>
    <t>(Base Dupla: Vrproduto-VlrICMS/0,82)</t>
  </si>
  <si>
    <t>Selecione UF destino para cálculo do imposto</t>
  </si>
  <si>
    <t>UF destino</t>
  </si>
  <si>
    <t>MA</t>
  </si>
  <si>
    <t>Índice ICMS de destino</t>
  </si>
  <si>
    <t>Valor simples produto / ICMS Destino</t>
  </si>
  <si>
    <t>Origem da Mercadoria</t>
  </si>
  <si>
    <t>Nacional</t>
  </si>
  <si>
    <t>%ICMS Interestadual</t>
  </si>
  <si>
    <t>Valor ICMS</t>
  </si>
  <si>
    <t>(Valor do produto * ICMS Interestadual)</t>
  </si>
  <si>
    <t>Valor total da NFe</t>
  </si>
  <si>
    <t>BC Difal</t>
  </si>
  <si>
    <t>% ICMS Destino</t>
  </si>
  <si>
    <t>Difal no rodapé da NFe</t>
  </si>
  <si>
    <t>(Valor produto * ICMS Destino - ICMS Interstadual)</t>
  </si>
  <si>
    <t>UF</t>
  </si>
  <si>
    <t>ESTADO</t>
  </si>
  <si>
    <t>Valor</t>
  </si>
  <si>
    <t xml:space="preserve"> </t>
  </si>
  <si>
    <t>Alíquota ICMS UF Destino</t>
  </si>
  <si>
    <t>Valor do produto atualizado</t>
  </si>
  <si>
    <t>(Valor do produto + ICMS Interestadual + ICMS Destino)</t>
  </si>
  <si>
    <t>PIAUÍ</t>
  </si>
  <si>
    <t>AM</t>
  </si>
  <si>
    <t>AMAZONAS</t>
  </si>
  <si>
    <t>MARANHÃO</t>
  </si>
  <si>
    <t>PB</t>
  </si>
  <si>
    <t>PARAÍBA</t>
  </si>
  <si>
    <t>RN</t>
  </si>
  <si>
    <t>RIO GRANDE DO NORTE</t>
  </si>
  <si>
    <t>(onde 100%-20,5%=0,795)</t>
  </si>
  <si>
    <t>RR</t>
  </si>
  <si>
    <t>RORAIMA</t>
  </si>
  <si>
    <t>TO</t>
  </si>
  <si>
    <t>TOCANTINS</t>
  </si>
  <si>
    <t>PARANÁ</t>
  </si>
  <si>
    <t>AC</t>
  </si>
  <si>
    <t>ACRE</t>
  </si>
  <si>
    <t>AL</t>
  </si>
  <si>
    <t>ALAGOAS</t>
  </si>
  <si>
    <t>BA</t>
  </si>
  <si>
    <t>BAHIA</t>
  </si>
  <si>
    <t>PA</t>
  </si>
  <si>
    <t>PARÁ</t>
  </si>
  <si>
    <t>SE</t>
  </si>
  <si>
    <t>SERGIPE</t>
  </si>
  <si>
    <t>AP</t>
  </si>
  <si>
    <t>AMAPÁ</t>
  </si>
  <si>
    <t>CE</t>
  </si>
  <si>
    <t>CEARÁ</t>
  </si>
  <si>
    <t>DF</t>
  </si>
  <si>
    <t>DISTRITO FEDERAL</t>
  </si>
  <si>
    <t>MG</t>
  </si>
  <si>
    <t>MINAS GERAIS</t>
  </si>
  <si>
    <t>PE</t>
  </si>
  <si>
    <t>PERNAMBUCO</t>
  </si>
  <si>
    <t>SP</t>
  </si>
  <si>
    <t>SÃO PAULO</t>
  </si>
  <si>
    <t>RONDÔNIA</t>
  </si>
  <si>
    <t>ES</t>
  </si>
  <si>
    <t>ESPÍRITO SANTO</t>
  </si>
  <si>
    <t>GO</t>
  </si>
  <si>
    <t>GOIAS</t>
  </si>
  <si>
    <t>MT</t>
  </si>
  <si>
    <t>MATO GROSSO</t>
  </si>
  <si>
    <t>MS</t>
  </si>
  <si>
    <t>MATO GROSSO DO SUL</t>
  </si>
  <si>
    <t>RS</t>
  </si>
  <si>
    <t>RIO GRANDE DO SUL</t>
  </si>
  <si>
    <t>SC</t>
  </si>
  <si>
    <t>SANTA CATARINA</t>
  </si>
  <si>
    <t>DATABASE</t>
  </si>
  <si>
    <t>ES, MT, MS, RS, SC</t>
  </si>
  <si>
    <t>Usando ICMS do estado de destino 19,5%</t>
  </si>
  <si>
    <t>PR, RO</t>
  </si>
  <si>
    <t>Usando ICMS do estado de destino 20,5%</t>
  </si>
  <si>
    <t>(BC ICMS STx20,5%-VR ICMS interestadual)</t>
  </si>
  <si>
    <t>Usando ICMS do estado de destino 22%</t>
  </si>
  <si>
    <t>(BC ICMS STx22%-VR ICMS interestadual)</t>
  </si>
  <si>
    <t>(Base Dupla: Vrproduto-VrICMS/0,78)</t>
  </si>
  <si>
    <t>(12%) = Vr final /110,69 x 100</t>
  </si>
  <si>
    <t>(7%) = Vlr final / 116,98 x 100</t>
  </si>
  <si>
    <t>(4%) = Vlr final /120,72 x 100</t>
  </si>
  <si>
    <t>21%=0,79 / 20%=0,80 / 19,5%=0,805 / 19%=0,81 / 18%= 0,82 / 17%= 0,83</t>
  </si>
  <si>
    <t>AP, MG, SP</t>
  </si>
  <si>
    <t>AC, GO, PA, SE</t>
  </si>
  <si>
    <t>AL, BA, PE</t>
  </si>
  <si>
    <t>(onde 100%-22,5%=0,775)</t>
  </si>
  <si>
    <t>(4%) = Vlr final /123,87 x 100</t>
  </si>
  <si>
    <t>(onde 100%-23%=0,7)</t>
  </si>
  <si>
    <t>(7%) = Vlr final / 120 x 100</t>
  </si>
  <si>
    <t>(12%) = Vr final /113,55 x 100</t>
  </si>
  <si>
    <t>(4%) = Vlr final /127,54 x 100</t>
  </si>
  <si>
    <t>(7%) = Vlr final / 123,56 x 100</t>
  </si>
  <si>
    <t>(12%) = Vr final /116,91 x 100</t>
  </si>
  <si>
    <t xml:space="preserve"> AM, CE, DF, PB, RN, RR, TO</t>
  </si>
  <si>
    <t>ES, MT, MS</t>
  </si>
  <si>
    <t>RS, SC</t>
  </si>
  <si>
    <t>MG, SP</t>
  </si>
  <si>
    <t>(20,5%) = Vlr final x 0,795</t>
  </si>
  <si>
    <t>(22,5%) = Vlr final x 0,775</t>
  </si>
  <si>
    <t>(onde 100%-23%=0,77)</t>
  </si>
  <si>
    <t>(23%) = Vlr final x 0,77</t>
  </si>
  <si>
    <t>AM, CE, DF, PB, RN, RR,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</si>
</sst>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3" fillId="5" borderId="0" xfId="0" applyFont="1" applyFill="1"/>
    <xf numFmtId="0" fontId="0" fillId="5" borderId="0" xfId="0" applyFill="1"/>
    <xf numFmtId="0" fontId="3" fillId="0" borderId="3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3" fillId="3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1" xfId="0" applyBorder="1" applyProtection="1">
      <protection locked="0"/>
    </xf>
    <xf numFmtId="43" fontId="0" fillId="0" borderId="1" xfId="0" applyNumberFormat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2" fontId="0" fillId="0" borderId="0" xfId="0" applyNumberFormat="1" applyProtection="1">
      <protection locked="0"/>
    </xf>
    <xf numFmtId="9" fontId="0" fillId="0" borderId="0" xfId="0" applyNumberFormat="1"/>
    <xf numFmtId="164" fontId="0" fillId="0" borderId="0" xfId="0" applyNumberFormat="1"/>
    <xf numFmtId="165" fontId="0" fillId="0" borderId="0" xfId="0" applyNumberFormat="1" applyProtection="1">
      <protection locked="0"/>
    </xf>
    <xf numFmtId="0" fontId="3" fillId="6" borderId="18" xfId="0" applyFont="1" applyFill="1" applyBorder="1"/>
    <xf numFmtId="43" fontId="3" fillId="6" borderId="19" xfId="1" applyFont="1" applyFill="1" applyBorder="1" applyProtection="1">
      <protection locked="0"/>
    </xf>
    <xf numFmtId="0" fontId="3" fillId="6" borderId="20" xfId="0" applyFont="1" applyFill="1" applyBorder="1"/>
    <xf numFmtId="0" fontId="5" fillId="0" borderId="21" xfId="0" applyFont="1" applyBorder="1"/>
    <xf numFmtId="43" fontId="5" fillId="0" borderId="22" xfId="1" applyFont="1" applyFill="1" applyBorder="1" applyAlignment="1" applyProtection="1">
      <alignment horizontal="center" vertical="center"/>
      <protection locked="0"/>
    </xf>
    <xf numFmtId="0" fontId="3" fillId="0" borderId="23" xfId="0" applyFont="1" applyBorder="1"/>
    <xf numFmtId="0" fontId="3" fillId="0" borderId="24" xfId="0" applyFont="1" applyBorder="1"/>
    <xf numFmtId="43" fontId="0" fillId="0" borderId="25" xfId="1" applyFont="1" applyFill="1" applyBorder="1" applyAlignment="1">
      <alignment horizontal="center" vertical="center"/>
    </xf>
    <xf numFmtId="0" fontId="0" fillId="0" borderId="26" xfId="0" applyBorder="1"/>
    <xf numFmtId="0" fontId="3" fillId="6" borderId="7" xfId="0" applyFont="1" applyFill="1" applyBorder="1"/>
    <xf numFmtId="43" fontId="3" fillId="6" borderId="1" xfId="0" applyNumberFormat="1" applyFont="1" applyFill="1" applyBorder="1"/>
    <xf numFmtId="0" fontId="3" fillId="6" borderId="14" xfId="0" applyFont="1" applyFill="1" applyBorder="1" applyAlignment="1">
      <alignment horizontal="left"/>
    </xf>
    <xf numFmtId="43" fontId="3" fillId="6" borderId="19" xfId="0" applyNumberFormat="1" applyFont="1" applyFill="1" applyBorder="1" applyAlignment="1">
      <alignment horizontal="center" vertical="center"/>
    </xf>
    <xf numFmtId="0" fontId="0" fillId="6" borderId="20" xfId="0" applyFill="1" applyBorder="1"/>
    <xf numFmtId="0" fontId="3" fillId="0" borderId="1" xfId="0" applyFont="1" applyBorder="1"/>
    <xf numFmtId="43" fontId="3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/>
    <xf numFmtId="43" fontId="3" fillId="6" borderId="1" xfId="0" applyNumberFormat="1" applyFont="1" applyFill="1" applyBorder="1" applyAlignment="1" applyProtection="1">
      <alignment horizontal="center" vertical="center"/>
      <protection locked="0"/>
    </xf>
    <xf numFmtId="9" fontId="3" fillId="0" borderId="1" xfId="0" applyNumberFormat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0" fillId="0" borderId="1" xfId="0" applyBorder="1"/>
    <xf numFmtId="43" fontId="3" fillId="6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/>
    <xf numFmtId="0" fontId="0" fillId="0" borderId="0" xfId="0" applyAlignment="1">
      <alignment horizontal="left"/>
    </xf>
    <xf numFmtId="0" fontId="3" fillId="3" borderId="0" xfId="0" applyFont="1" applyFill="1"/>
    <xf numFmtId="0" fontId="3" fillId="5" borderId="6" xfId="0" applyFont="1" applyFill="1" applyBorder="1"/>
    <xf numFmtId="0" fontId="0" fillId="5" borderId="6" xfId="0" applyFill="1" applyBorder="1"/>
    <xf numFmtId="43" fontId="0" fillId="0" borderId="1" xfId="1" applyFont="1" applyFill="1" applyBorder="1" applyProtection="1">
      <protection locked="0"/>
    </xf>
    <xf numFmtId="0" fontId="2" fillId="0" borderId="7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0" fillId="5" borderId="0" xfId="0" applyFill="1" applyAlignment="1" applyProtection="1">
      <alignment horizontal="center"/>
      <protection locked="0"/>
    </xf>
    <xf numFmtId="0" fontId="3" fillId="5" borderId="0" xfId="0" applyFon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1" xfId="0" applyFill="1" applyBorder="1" applyProtection="1">
      <protection locked="0"/>
    </xf>
    <xf numFmtId="0" fontId="3" fillId="0" borderId="0" xfId="0" applyFont="1" applyBorder="1"/>
    <xf numFmtId="0" fontId="0" fillId="0" borderId="7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9" fontId="0" fillId="0" borderId="1" xfId="0" applyNumberFormat="1" applyFont="1" applyBorder="1" applyAlignment="1">
      <alignment vertical="center" wrapText="1"/>
    </xf>
    <xf numFmtId="0" fontId="0" fillId="0" borderId="28" xfId="0" applyFont="1" applyBorder="1" applyAlignment="1">
      <alignment vertical="center" wrapText="1"/>
    </xf>
    <xf numFmtId="0" fontId="0" fillId="0" borderId="29" xfId="0" applyFont="1" applyBorder="1" applyAlignment="1">
      <alignment vertical="center" wrapText="1"/>
    </xf>
    <xf numFmtId="9" fontId="0" fillId="0" borderId="29" xfId="0" applyNumberFormat="1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164" fontId="0" fillId="0" borderId="14" xfId="0" applyNumberFormat="1" applyFont="1" applyBorder="1" applyAlignment="1">
      <alignment vertical="center" wrapText="1"/>
    </xf>
    <xf numFmtId="164" fontId="0" fillId="0" borderId="33" xfId="0" applyNumberFormat="1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6DE8-2741-4ECA-B2AA-28CD789E5583}">
  <dimension ref="A1:O136"/>
  <sheetViews>
    <sheetView tabSelected="1" workbookViewId="0">
      <selection activeCell="L5" sqref="L5"/>
    </sheetView>
  </sheetViews>
  <sheetFormatPr defaultRowHeight="15" x14ac:dyDescent="0.25"/>
  <cols>
    <col min="1" max="1" width="19.85546875" style="9" bestFit="1" customWidth="1"/>
    <col min="2" max="2" width="11.5703125" style="9" bestFit="1" customWidth="1"/>
    <col min="3" max="3" width="37.7109375" style="9" bestFit="1" customWidth="1"/>
    <col min="4" max="4" width="9.140625" style="9"/>
    <col min="5" max="5" width="13.7109375" style="9" customWidth="1"/>
    <col min="6" max="6" width="12.7109375" style="9" customWidth="1"/>
    <col min="7" max="12" width="9.140625" style="9"/>
    <col min="13" max="13" width="23.7109375" style="9" bestFit="1" customWidth="1"/>
    <col min="14" max="16384" width="9.140625" style="9"/>
  </cols>
  <sheetData>
    <row r="1" spans="1:15" x14ac:dyDescent="0.25">
      <c r="A1" s="9" t="s">
        <v>20</v>
      </c>
    </row>
    <row r="3" spans="1:15" s="11" customFormat="1" x14ac:dyDescent="0.25">
      <c r="A3" s="10" t="s">
        <v>15</v>
      </c>
      <c r="B3" s="10"/>
      <c r="C3" s="10"/>
      <c r="D3" s="10"/>
    </row>
    <row r="4" spans="1:15" ht="15.75" thickBot="1" x14ac:dyDescent="0.3"/>
    <row r="5" spans="1:15" s="11" customFormat="1" x14ac:dyDescent="0.25">
      <c r="A5" s="70" t="s">
        <v>59</v>
      </c>
      <c r="B5" s="71"/>
      <c r="C5" s="71"/>
      <c r="D5" s="7" t="s">
        <v>16</v>
      </c>
      <c r="E5" s="7"/>
      <c r="F5" s="8"/>
      <c r="H5" s="67" t="s">
        <v>32</v>
      </c>
      <c r="I5" s="67"/>
      <c r="J5" s="67"/>
      <c r="M5" s="1"/>
    </row>
    <row r="6" spans="1:15" x14ac:dyDescent="0.25">
      <c r="A6" s="12"/>
      <c r="F6" s="13"/>
      <c r="H6" s="66" t="s">
        <v>33</v>
      </c>
      <c r="I6" s="66"/>
      <c r="J6" s="66"/>
    </row>
    <row r="7" spans="1:15" s="11" customFormat="1" x14ac:dyDescent="0.25">
      <c r="A7" s="14" t="s">
        <v>11</v>
      </c>
      <c r="B7" s="15" t="s">
        <v>13</v>
      </c>
      <c r="C7" s="15" t="s">
        <v>12</v>
      </c>
      <c r="F7" s="16"/>
      <c r="H7" s="66" t="s">
        <v>34</v>
      </c>
      <c r="I7" s="66"/>
      <c r="J7" s="66"/>
      <c r="N7" s="26"/>
      <c r="O7"/>
    </row>
    <row r="8" spans="1:15" x14ac:dyDescent="0.25">
      <c r="A8" s="17" t="s">
        <v>19</v>
      </c>
      <c r="B8" s="57">
        <v>2700</v>
      </c>
      <c r="C8" s="18" t="s">
        <v>14</v>
      </c>
      <c r="E8" s="62" t="s">
        <v>45</v>
      </c>
      <c r="F8" s="63"/>
      <c r="H8" s="66" t="s">
        <v>35</v>
      </c>
      <c r="I8" s="66"/>
      <c r="J8" s="66"/>
      <c r="N8" s="27"/>
      <c r="O8"/>
    </row>
    <row r="9" spans="1:15" x14ac:dyDescent="0.25">
      <c r="A9" s="17" t="s">
        <v>1</v>
      </c>
      <c r="B9" s="96">
        <v>4</v>
      </c>
      <c r="C9" s="18" t="s">
        <v>8</v>
      </c>
      <c r="E9" s="60" t="s">
        <v>166</v>
      </c>
      <c r="F9" s="61"/>
      <c r="N9" s="26"/>
      <c r="O9"/>
    </row>
    <row r="10" spans="1:15" x14ac:dyDescent="0.25">
      <c r="A10" s="17" t="s">
        <v>2</v>
      </c>
      <c r="B10" s="19">
        <f>B8*B9/100</f>
        <v>108</v>
      </c>
      <c r="C10" s="18" t="s">
        <v>9</v>
      </c>
      <c r="F10" s="13"/>
      <c r="N10" s="26"/>
      <c r="O10"/>
    </row>
    <row r="11" spans="1:15" x14ac:dyDescent="0.25">
      <c r="A11" s="17" t="s">
        <v>3</v>
      </c>
      <c r="B11" s="19">
        <f>(B8-B10)/0.83</f>
        <v>3122.8915662650602</v>
      </c>
      <c r="C11" s="18" t="s">
        <v>17</v>
      </c>
      <c r="F11" s="13"/>
      <c r="N11" s="26"/>
      <c r="O11"/>
    </row>
    <row r="12" spans="1:15" x14ac:dyDescent="0.25">
      <c r="A12" s="17" t="s">
        <v>4</v>
      </c>
      <c r="B12" s="19">
        <f>(B11*17%-B10)</f>
        <v>422.89156626506031</v>
      </c>
      <c r="C12" s="18" t="s">
        <v>18</v>
      </c>
      <c r="F12" s="13"/>
      <c r="M12"/>
      <c r="N12" s="26"/>
      <c r="O12"/>
    </row>
    <row r="13" spans="1:15" x14ac:dyDescent="0.25">
      <c r="A13" s="17" t="s">
        <v>6</v>
      </c>
      <c r="B13" s="19">
        <f>B8+B12</f>
        <v>3122.8915662650602</v>
      </c>
      <c r="C13" s="18" t="s">
        <v>7</v>
      </c>
      <c r="F13" s="13"/>
    </row>
    <row r="14" spans="1:15" x14ac:dyDescent="0.25">
      <c r="A14" s="20"/>
      <c r="B14" s="21"/>
      <c r="C14" s="21"/>
      <c r="F14" s="13"/>
    </row>
    <row r="15" spans="1:15" ht="15.75" thickBot="1" x14ac:dyDescent="0.3">
      <c r="A15" s="22"/>
      <c r="B15" s="23"/>
      <c r="C15" s="23"/>
      <c r="D15" s="23"/>
      <c r="E15" s="23"/>
      <c r="F15" s="24"/>
    </row>
    <row r="16" spans="1:15" ht="15.75" thickBot="1" x14ac:dyDescent="0.3"/>
    <row r="17" spans="1:15" s="11" customFormat="1" x14ac:dyDescent="0.25">
      <c r="A17" s="70" t="s">
        <v>59</v>
      </c>
      <c r="B17" s="71"/>
      <c r="C17" s="71"/>
      <c r="D17" s="7" t="s">
        <v>16</v>
      </c>
      <c r="E17" s="7"/>
      <c r="F17" s="8"/>
      <c r="H17" s="67" t="s">
        <v>32</v>
      </c>
      <c r="I17" s="67"/>
      <c r="J17" s="67"/>
      <c r="M17" s="1"/>
    </row>
    <row r="18" spans="1:15" x14ac:dyDescent="0.25">
      <c r="A18" s="12"/>
      <c r="F18" s="13"/>
      <c r="H18" s="66" t="s">
        <v>33</v>
      </c>
      <c r="I18" s="66"/>
      <c r="J18" s="66"/>
    </row>
    <row r="19" spans="1:15" s="11" customFormat="1" x14ac:dyDescent="0.25">
      <c r="A19" s="14" t="s">
        <v>11</v>
      </c>
      <c r="B19" s="15" t="s">
        <v>13</v>
      </c>
      <c r="C19" s="15" t="s">
        <v>12</v>
      </c>
      <c r="F19" s="16"/>
      <c r="H19" s="66" t="s">
        <v>34</v>
      </c>
      <c r="I19" s="66"/>
      <c r="J19" s="66"/>
      <c r="N19" s="26"/>
      <c r="O19"/>
    </row>
    <row r="20" spans="1:15" x14ac:dyDescent="0.25">
      <c r="A20" s="17" t="s">
        <v>19</v>
      </c>
      <c r="B20" s="57">
        <v>2700</v>
      </c>
      <c r="C20" s="18" t="s">
        <v>14</v>
      </c>
      <c r="E20" s="62" t="s">
        <v>45</v>
      </c>
      <c r="F20" s="63"/>
      <c r="H20" s="66" t="s">
        <v>35</v>
      </c>
      <c r="I20" s="66"/>
      <c r="J20" s="66"/>
      <c r="N20" s="27"/>
      <c r="O20"/>
    </row>
    <row r="21" spans="1:15" x14ac:dyDescent="0.25">
      <c r="A21" s="17" t="s">
        <v>1</v>
      </c>
      <c r="B21" s="96">
        <v>12</v>
      </c>
      <c r="C21" s="18" t="s">
        <v>8</v>
      </c>
      <c r="E21" s="60" t="s">
        <v>167</v>
      </c>
      <c r="F21" s="61"/>
      <c r="N21" s="26"/>
      <c r="O21"/>
    </row>
    <row r="22" spans="1:15" x14ac:dyDescent="0.25">
      <c r="A22" s="17" t="s">
        <v>2</v>
      </c>
      <c r="B22" s="19">
        <f>B20*B21/100</f>
        <v>324</v>
      </c>
      <c r="C22" s="18" t="s">
        <v>9</v>
      </c>
      <c r="F22" s="13"/>
      <c r="N22" s="26"/>
      <c r="O22"/>
    </row>
    <row r="23" spans="1:15" x14ac:dyDescent="0.25">
      <c r="A23" s="17" t="s">
        <v>3</v>
      </c>
      <c r="B23" s="19">
        <f>(B20-B22)/0.83</f>
        <v>2862.6506024096389</v>
      </c>
      <c r="C23" s="18" t="s">
        <v>17</v>
      </c>
      <c r="F23" s="13"/>
      <c r="N23" s="26"/>
      <c r="O23"/>
    </row>
    <row r="24" spans="1:15" x14ac:dyDescent="0.25">
      <c r="A24" s="17" t="s">
        <v>4</v>
      </c>
      <c r="B24" s="19">
        <f>(B23*17%-B22)</f>
        <v>162.65060240963862</v>
      </c>
      <c r="C24" s="18" t="s">
        <v>18</v>
      </c>
      <c r="F24" s="13"/>
      <c r="M24"/>
      <c r="N24" s="26"/>
      <c r="O24"/>
    </row>
    <row r="25" spans="1:15" x14ac:dyDescent="0.25">
      <c r="A25" s="17" t="s">
        <v>6</v>
      </c>
      <c r="B25" s="19">
        <f>B20+B24</f>
        <v>2862.6506024096389</v>
      </c>
      <c r="C25" s="18" t="s">
        <v>7</v>
      </c>
      <c r="F25" s="13"/>
    </row>
    <row r="26" spans="1:15" x14ac:dyDescent="0.25">
      <c r="A26" s="20"/>
      <c r="B26" s="21"/>
      <c r="C26" s="21"/>
      <c r="F26" s="13"/>
    </row>
    <row r="27" spans="1:15" ht="15.75" thickBot="1" x14ac:dyDescent="0.3">
      <c r="A27" s="22"/>
      <c r="B27" s="23"/>
      <c r="C27" s="23"/>
      <c r="D27" s="23"/>
      <c r="E27" s="23"/>
      <c r="F27" s="24"/>
    </row>
    <row r="28" spans="1:15" ht="15.75" thickBot="1" x14ac:dyDescent="0.3"/>
    <row r="29" spans="1:15" x14ac:dyDescent="0.25">
      <c r="A29" s="70" t="s">
        <v>60</v>
      </c>
      <c r="B29" s="71"/>
      <c r="C29" s="71"/>
      <c r="D29" s="7" t="s">
        <v>10</v>
      </c>
      <c r="E29" s="7"/>
      <c r="F29" s="8"/>
      <c r="G29" s="11"/>
      <c r="H29" s="67" t="s">
        <v>32</v>
      </c>
      <c r="I29" s="67"/>
      <c r="J29" s="67"/>
    </row>
    <row r="30" spans="1:15" x14ac:dyDescent="0.25">
      <c r="A30" s="12"/>
      <c r="F30" s="13"/>
      <c r="H30" s="66" t="s">
        <v>29</v>
      </c>
      <c r="I30" s="66"/>
      <c r="J30" s="66"/>
    </row>
    <row r="31" spans="1:15" x14ac:dyDescent="0.25">
      <c r="A31" s="14" t="s">
        <v>11</v>
      </c>
      <c r="B31" s="15" t="s">
        <v>13</v>
      </c>
      <c r="C31" s="15" t="s">
        <v>12</v>
      </c>
      <c r="D31" s="11"/>
      <c r="E31" s="11"/>
      <c r="F31" s="16"/>
      <c r="G31" s="11"/>
      <c r="H31" s="66" t="s">
        <v>30</v>
      </c>
      <c r="I31" s="66"/>
      <c r="J31" s="66"/>
    </row>
    <row r="32" spans="1:15" x14ac:dyDescent="0.25">
      <c r="A32" s="17" t="s">
        <v>19</v>
      </c>
      <c r="B32" s="57"/>
      <c r="C32" s="18" t="s">
        <v>14</v>
      </c>
      <c r="E32" s="62" t="s">
        <v>45</v>
      </c>
      <c r="F32" s="63"/>
      <c r="H32" s="66" t="s">
        <v>31</v>
      </c>
      <c r="I32" s="66"/>
      <c r="J32" s="66"/>
    </row>
    <row r="33" spans="1:11" x14ac:dyDescent="0.25">
      <c r="A33" s="17" t="s">
        <v>1</v>
      </c>
      <c r="B33" s="96">
        <v>4</v>
      </c>
      <c r="C33" s="18" t="s">
        <v>8</v>
      </c>
      <c r="E33" s="60" t="s">
        <v>116</v>
      </c>
      <c r="F33" s="61"/>
    </row>
    <row r="34" spans="1:11" x14ac:dyDescent="0.25">
      <c r="A34" s="17" t="s">
        <v>2</v>
      </c>
      <c r="B34" s="19">
        <f>B32*B33/100</f>
        <v>0</v>
      </c>
      <c r="C34" s="18" t="s">
        <v>9</v>
      </c>
      <c r="F34" s="13"/>
    </row>
    <row r="35" spans="1:11" x14ac:dyDescent="0.25">
      <c r="A35" s="17" t="s">
        <v>3</v>
      </c>
      <c r="B35" s="19">
        <f>(B32-B34)/0.82</f>
        <v>0</v>
      </c>
      <c r="C35" s="18" t="s">
        <v>69</v>
      </c>
      <c r="F35" s="13"/>
    </row>
    <row r="36" spans="1:11" x14ac:dyDescent="0.25">
      <c r="A36" s="17" t="s">
        <v>4</v>
      </c>
      <c r="B36" s="19">
        <f>(B35*18%-B34)</f>
        <v>0</v>
      </c>
      <c r="C36" s="18" t="s">
        <v>5</v>
      </c>
      <c r="F36" s="13"/>
    </row>
    <row r="37" spans="1:11" x14ac:dyDescent="0.25">
      <c r="A37" s="17" t="s">
        <v>6</v>
      </c>
      <c r="B37" s="19">
        <f>B32+B36</f>
        <v>0</v>
      </c>
      <c r="C37" s="18" t="s">
        <v>7</v>
      </c>
      <c r="F37" s="13"/>
      <c r="K37" s="25"/>
    </row>
    <row r="38" spans="1:11" x14ac:dyDescent="0.25">
      <c r="A38" s="20"/>
      <c r="B38" s="21"/>
      <c r="C38" s="21"/>
      <c r="F38" s="13"/>
    </row>
    <row r="39" spans="1:11" ht="15.75" thickBot="1" x14ac:dyDescent="0.3">
      <c r="A39" s="22"/>
      <c r="B39" s="23"/>
      <c r="C39" s="23"/>
      <c r="D39" s="23"/>
      <c r="E39" s="23"/>
      <c r="F39" s="24"/>
    </row>
    <row r="40" spans="1:11" ht="15.75" thickBot="1" x14ac:dyDescent="0.3">
      <c r="A40" s="95"/>
      <c r="B40" s="95"/>
      <c r="C40" s="95"/>
      <c r="D40" s="95"/>
      <c r="E40" s="95"/>
      <c r="F40" s="95"/>
    </row>
    <row r="41" spans="1:11" x14ac:dyDescent="0.25">
      <c r="A41" s="70" t="s">
        <v>60</v>
      </c>
      <c r="B41" s="71"/>
      <c r="C41" s="71"/>
      <c r="D41" s="7" t="s">
        <v>10</v>
      </c>
      <c r="E41" s="7"/>
      <c r="F41" s="8"/>
      <c r="G41" s="11"/>
      <c r="H41" s="67" t="s">
        <v>32</v>
      </c>
      <c r="I41" s="67"/>
      <c r="J41" s="67"/>
    </row>
    <row r="42" spans="1:11" x14ac:dyDescent="0.25">
      <c r="A42" s="12"/>
      <c r="F42" s="13"/>
      <c r="H42" s="66" t="s">
        <v>29</v>
      </c>
      <c r="I42" s="66"/>
      <c r="J42" s="66"/>
    </row>
    <row r="43" spans="1:11" x14ac:dyDescent="0.25">
      <c r="A43" s="14" t="s">
        <v>11</v>
      </c>
      <c r="B43" s="15" t="s">
        <v>13</v>
      </c>
      <c r="C43" s="15" t="s">
        <v>12</v>
      </c>
      <c r="D43" s="11"/>
      <c r="E43" s="11"/>
      <c r="F43" s="16"/>
      <c r="G43" s="11"/>
      <c r="H43" s="66" t="s">
        <v>30</v>
      </c>
      <c r="I43" s="66"/>
      <c r="J43" s="66"/>
    </row>
    <row r="44" spans="1:11" x14ac:dyDescent="0.25">
      <c r="A44" s="17" t="s">
        <v>19</v>
      </c>
      <c r="B44" s="57"/>
      <c r="C44" s="18" t="s">
        <v>14</v>
      </c>
      <c r="E44" s="62" t="s">
        <v>45</v>
      </c>
      <c r="F44" s="63"/>
      <c r="H44" s="66" t="s">
        <v>31</v>
      </c>
      <c r="I44" s="66"/>
      <c r="J44" s="66"/>
    </row>
    <row r="45" spans="1:11" x14ac:dyDescent="0.25">
      <c r="A45" s="17" t="s">
        <v>1</v>
      </c>
      <c r="B45" s="96">
        <v>4</v>
      </c>
      <c r="C45" s="18" t="s">
        <v>8</v>
      </c>
      <c r="E45" s="60" t="s">
        <v>168</v>
      </c>
      <c r="F45" s="61"/>
    </row>
    <row r="46" spans="1:11" x14ac:dyDescent="0.25">
      <c r="A46" s="17" t="s">
        <v>2</v>
      </c>
      <c r="B46" s="19">
        <f>B44*B45/100</f>
        <v>0</v>
      </c>
      <c r="C46" s="18" t="s">
        <v>9</v>
      </c>
      <c r="F46" s="13"/>
    </row>
    <row r="47" spans="1:11" x14ac:dyDescent="0.25">
      <c r="A47" s="17" t="s">
        <v>3</v>
      </c>
      <c r="B47" s="19">
        <f>(B44-B46)/0.82</f>
        <v>0</v>
      </c>
      <c r="C47" s="18" t="s">
        <v>69</v>
      </c>
      <c r="F47" s="13"/>
    </row>
    <row r="48" spans="1:11" x14ac:dyDescent="0.25">
      <c r="A48" s="17" t="s">
        <v>4</v>
      </c>
      <c r="B48" s="19">
        <f>(B47*18%-B46)</f>
        <v>0</v>
      </c>
      <c r="C48" s="18" t="s">
        <v>5</v>
      </c>
      <c r="F48" s="13"/>
    </row>
    <row r="49" spans="1:14" x14ac:dyDescent="0.25">
      <c r="A49" s="17" t="s">
        <v>6</v>
      </c>
      <c r="B49" s="19">
        <f>B44+B48</f>
        <v>0</v>
      </c>
      <c r="C49" s="18" t="s">
        <v>7</v>
      </c>
      <c r="F49" s="13"/>
    </row>
    <row r="50" spans="1:14" x14ac:dyDescent="0.25">
      <c r="A50" s="20"/>
      <c r="B50" s="21"/>
      <c r="C50" s="21"/>
      <c r="F50" s="13"/>
    </row>
    <row r="51" spans="1:14" ht="15.75" thickBot="1" x14ac:dyDescent="0.3">
      <c r="A51" s="22"/>
      <c r="B51" s="23"/>
      <c r="C51" s="23"/>
      <c r="D51" s="23"/>
      <c r="E51" s="23"/>
      <c r="F51" s="24"/>
    </row>
    <row r="52" spans="1:14" ht="15.75" thickBot="1" x14ac:dyDescent="0.3"/>
    <row r="53" spans="1:14" x14ac:dyDescent="0.25">
      <c r="A53" s="70" t="s">
        <v>61</v>
      </c>
      <c r="B53" s="71"/>
      <c r="C53" s="71"/>
      <c r="D53" s="7" t="s">
        <v>39</v>
      </c>
      <c r="E53" s="7"/>
      <c r="F53" s="8"/>
      <c r="G53" s="11"/>
      <c r="H53" s="67" t="s">
        <v>32</v>
      </c>
      <c r="I53" s="67"/>
      <c r="J53" s="67"/>
    </row>
    <row r="54" spans="1:14" x14ac:dyDescent="0.25">
      <c r="A54" s="12"/>
      <c r="F54" s="13"/>
      <c r="H54" s="66" t="s">
        <v>52</v>
      </c>
      <c r="I54" s="66"/>
      <c r="J54" s="66"/>
    </row>
    <row r="55" spans="1:14" x14ac:dyDescent="0.25">
      <c r="A55" s="14" t="s">
        <v>11</v>
      </c>
      <c r="B55" s="15" t="s">
        <v>13</v>
      </c>
      <c r="C55" s="15" t="s">
        <v>12</v>
      </c>
      <c r="D55" s="11"/>
      <c r="E55" s="11"/>
      <c r="F55" s="16"/>
      <c r="G55" s="11"/>
      <c r="H55" s="66" t="s">
        <v>53</v>
      </c>
      <c r="I55" s="66"/>
      <c r="J55" s="66"/>
    </row>
    <row r="56" spans="1:14" x14ac:dyDescent="0.25">
      <c r="A56" s="17" t="s">
        <v>19</v>
      </c>
      <c r="B56" s="57"/>
      <c r="C56" s="18" t="s">
        <v>14</v>
      </c>
      <c r="E56" s="62" t="s">
        <v>45</v>
      </c>
      <c r="F56" s="63"/>
      <c r="H56" s="66" t="s">
        <v>54</v>
      </c>
      <c r="I56" s="66"/>
      <c r="J56" s="66"/>
    </row>
    <row r="57" spans="1:14" x14ac:dyDescent="0.25">
      <c r="A57" s="17" t="s">
        <v>1</v>
      </c>
      <c r="B57" s="96">
        <v>12</v>
      </c>
      <c r="C57" s="18" t="s">
        <v>8</v>
      </c>
      <c r="E57" s="60" t="s">
        <v>155</v>
      </c>
      <c r="F57" s="61"/>
      <c r="N57" s="28"/>
    </row>
    <row r="58" spans="1:14" x14ac:dyDescent="0.25">
      <c r="A58" s="17" t="s">
        <v>2</v>
      </c>
      <c r="B58" s="19">
        <f>B56*B57/100</f>
        <v>0</v>
      </c>
      <c r="C58" s="18" t="s">
        <v>9</v>
      </c>
      <c r="F58" s="13"/>
    </row>
    <row r="59" spans="1:14" x14ac:dyDescent="0.25">
      <c r="A59" s="17" t="s">
        <v>3</v>
      </c>
      <c r="B59" s="19">
        <f>(B56-B58)/0.81</f>
        <v>0</v>
      </c>
      <c r="C59" s="18" t="s">
        <v>47</v>
      </c>
      <c r="F59" s="13"/>
    </row>
    <row r="60" spans="1:14" x14ac:dyDescent="0.25">
      <c r="A60" s="17" t="s">
        <v>4</v>
      </c>
      <c r="B60" s="19">
        <f>(B59*19%-B58)</f>
        <v>0</v>
      </c>
      <c r="C60" s="18" t="s">
        <v>48</v>
      </c>
      <c r="F60" s="13"/>
    </row>
    <row r="61" spans="1:14" x14ac:dyDescent="0.25">
      <c r="A61" s="17" t="s">
        <v>6</v>
      </c>
      <c r="B61" s="19">
        <f>B56+B60</f>
        <v>0</v>
      </c>
      <c r="C61" s="18" t="s">
        <v>7</v>
      </c>
      <c r="F61" s="13"/>
    </row>
    <row r="62" spans="1:14" x14ac:dyDescent="0.25">
      <c r="A62" s="20"/>
      <c r="B62" s="21"/>
      <c r="C62" s="21"/>
      <c r="F62" s="13"/>
    </row>
    <row r="63" spans="1:14" ht="15.75" thickBot="1" x14ac:dyDescent="0.3">
      <c r="A63" s="22"/>
      <c r="B63" s="23"/>
      <c r="C63" s="23"/>
      <c r="D63" s="23"/>
      <c r="E63" s="23"/>
      <c r="F63" s="24"/>
    </row>
    <row r="65" spans="1:10" ht="15.75" thickBot="1" x14ac:dyDescent="0.3"/>
    <row r="66" spans="1:10" x14ac:dyDescent="0.25">
      <c r="A66" s="70" t="s">
        <v>143</v>
      </c>
      <c r="B66" s="71"/>
      <c r="C66" s="71"/>
      <c r="D66" s="7" t="s">
        <v>63</v>
      </c>
      <c r="E66" s="7"/>
      <c r="F66" s="8"/>
      <c r="G66" s="11"/>
      <c r="H66" s="67" t="s">
        <v>32</v>
      </c>
      <c r="I66" s="67"/>
      <c r="J66" s="67"/>
    </row>
    <row r="67" spans="1:10" x14ac:dyDescent="0.25">
      <c r="A67" s="12"/>
      <c r="F67" s="13"/>
      <c r="H67" s="66" t="s">
        <v>68</v>
      </c>
      <c r="I67" s="66"/>
      <c r="J67" s="66"/>
    </row>
    <row r="68" spans="1:10" x14ac:dyDescent="0.25">
      <c r="A68" s="14" t="s">
        <v>11</v>
      </c>
      <c r="B68" s="15" t="s">
        <v>13</v>
      </c>
      <c r="C68" s="15" t="s">
        <v>12</v>
      </c>
      <c r="D68" s="11"/>
      <c r="E68" s="11"/>
      <c r="F68" s="16"/>
      <c r="G68" s="11"/>
      <c r="H68" s="66" t="s">
        <v>67</v>
      </c>
      <c r="I68" s="66"/>
      <c r="J68" s="66"/>
    </row>
    <row r="69" spans="1:10" x14ac:dyDescent="0.25">
      <c r="A69" s="17" t="s">
        <v>19</v>
      </c>
      <c r="B69" s="57">
        <v>47.5</v>
      </c>
      <c r="C69" s="18" t="s">
        <v>14</v>
      </c>
      <c r="E69" s="62" t="s">
        <v>45</v>
      </c>
      <c r="F69" s="63"/>
      <c r="H69" s="66" t="s">
        <v>66</v>
      </c>
      <c r="I69" s="66"/>
      <c r="J69" s="66"/>
    </row>
    <row r="70" spans="1:10" x14ac:dyDescent="0.25">
      <c r="A70" s="17" t="s">
        <v>1</v>
      </c>
      <c r="B70" s="96">
        <v>4</v>
      </c>
      <c r="C70" s="18" t="s">
        <v>8</v>
      </c>
      <c r="E70" s="60" t="s">
        <v>64</v>
      </c>
      <c r="F70" s="61"/>
    </row>
    <row r="71" spans="1:10" x14ac:dyDescent="0.25">
      <c r="A71" s="17" t="s">
        <v>2</v>
      </c>
      <c r="B71" s="19">
        <f>B69*B70/100</f>
        <v>1.9</v>
      </c>
      <c r="C71" s="18" t="s">
        <v>9</v>
      </c>
      <c r="F71" s="13"/>
    </row>
    <row r="72" spans="1:10" x14ac:dyDescent="0.25">
      <c r="A72" s="17" t="s">
        <v>3</v>
      </c>
      <c r="B72" s="19">
        <f>(B69-B71)/0.805</f>
        <v>56.645962732919251</v>
      </c>
      <c r="C72" s="18" t="s">
        <v>47</v>
      </c>
      <c r="F72" s="13"/>
    </row>
    <row r="73" spans="1:10" x14ac:dyDescent="0.25">
      <c r="A73" s="17" t="s">
        <v>4</v>
      </c>
      <c r="B73" s="19">
        <f>(B72*19.5%-B71)</f>
        <v>9.1459627329192532</v>
      </c>
      <c r="C73" s="18" t="s">
        <v>48</v>
      </c>
      <c r="F73" s="13"/>
    </row>
    <row r="74" spans="1:10" x14ac:dyDescent="0.25">
      <c r="A74" s="17" t="s">
        <v>6</v>
      </c>
      <c r="B74" s="19">
        <f>B69+B73</f>
        <v>56.645962732919251</v>
      </c>
      <c r="C74" s="18" t="s">
        <v>7</v>
      </c>
      <c r="F74" s="13"/>
    </row>
    <row r="75" spans="1:10" x14ac:dyDescent="0.25">
      <c r="A75" s="20"/>
      <c r="B75" s="21"/>
      <c r="C75" s="21"/>
      <c r="F75" s="13"/>
    </row>
    <row r="76" spans="1:10" ht="15.75" thickBot="1" x14ac:dyDescent="0.3">
      <c r="A76" s="22"/>
      <c r="B76" s="23"/>
      <c r="C76" s="23"/>
      <c r="D76" s="23"/>
      <c r="E76" s="23"/>
      <c r="F76" s="24"/>
    </row>
    <row r="77" spans="1:10" ht="15.75" thickBot="1" x14ac:dyDescent="0.3"/>
    <row r="78" spans="1:10" x14ac:dyDescent="0.25">
      <c r="A78" s="70" t="s">
        <v>143</v>
      </c>
      <c r="B78" s="71"/>
      <c r="C78" s="71"/>
      <c r="D78" s="7" t="s">
        <v>63</v>
      </c>
      <c r="E78" s="7"/>
      <c r="F78" s="8"/>
      <c r="G78" s="11"/>
      <c r="H78" s="67" t="s">
        <v>32</v>
      </c>
      <c r="I78" s="67"/>
      <c r="J78" s="67"/>
    </row>
    <row r="79" spans="1:10" x14ac:dyDescent="0.25">
      <c r="A79" s="12"/>
      <c r="F79" s="13"/>
      <c r="H79" s="66" t="s">
        <v>68</v>
      </c>
      <c r="I79" s="66"/>
      <c r="J79" s="66"/>
    </row>
    <row r="80" spans="1:10" x14ac:dyDescent="0.25">
      <c r="A80" s="14" t="s">
        <v>11</v>
      </c>
      <c r="B80" s="15" t="s">
        <v>13</v>
      </c>
      <c r="C80" s="15" t="s">
        <v>12</v>
      </c>
      <c r="D80" s="11"/>
      <c r="E80" s="11"/>
      <c r="F80" s="16"/>
      <c r="G80" s="11"/>
      <c r="H80" s="66" t="s">
        <v>67</v>
      </c>
      <c r="I80" s="66"/>
      <c r="J80" s="66"/>
    </row>
    <row r="81" spans="1:10" x14ac:dyDescent="0.25">
      <c r="A81" s="17" t="s">
        <v>19</v>
      </c>
      <c r="B81" s="57">
        <v>47.5</v>
      </c>
      <c r="C81" s="18" t="s">
        <v>14</v>
      </c>
      <c r="E81" s="62" t="s">
        <v>45</v>
      </c>
      <c r="F81" s="63"/>
      <c r="H81" s="66" t="s">
        <v>66</v>
      </c>
      <c r="I81" s="66"/>
      <c r="J81" s="66"/>
    </row>
    <row r="82" spans="1:10" x14ac:dyDescent="0.25">
      <c r="A82" s="17" t="s">
        <v>1</v>
      </c>
      <c r="B82" s="96">
        <v>4</v>
      </c>
      <c r="C82" s="18" t="s">
        <v>8</v>
      </c>
      <c r="E82" s="60" t="s">
        <v>42</v>
      </c>
      <c r="F82" s="61"/>
    </row>
    <row r="83" spans="1:10" x14ac:dyDescent="0.25">
      <c r="A83" s="17" t="s">
        <v>2</v>
      </c>
      <c r="B83" s="19">
        <f>B81*B82/100</f>
        <v>1.9</v>
      </c>
      <c r="C83" s="18" t="s">
        <v>9</v>
      </c>
      <c r="F83" s="13"/>
    </row>
    <row r="84" spans="1:10" x14ac:dyDescent="0.25">
      <c r="A84" s="17" t="s">
        <v>3</v>
      </c>
      <c r="B84" s="19">
        <f>(B81-B83)/0.805</f>
        <v>56.645962732919251</v>
      </c>
      <c r="C84" s="18" t="s">
        <v>47</v>
      </c>
      <c r="F84" s="13"/>
    </row>
    <row r="85" spans="1:10" x14ac:dyDescent="0.25">
      <c r="A85" s="17" t="s">
        <v>4</v>
      </c>
      <c r="B85" s="19">
        <f>(B84*19.5%-B83)</f>
        <v>9.1459627329192532</v>
      </c>
      <c r="C85" s="18" t="s">
        <v>48</v>
      </c>
      <c r="F85" s="13"/>
    </row>
    <row r="86" spans="1:10" x14ac:dyDescent="0.25">
      <c r="A86" s="17" t="s">
        <v>6</v>
      </c>
      <c r="B86" s="19">
        <f>B81+B85</f>
        <v>56.645962732919251</v>
      </c>
      <c r="C86" s="18" t="s">
        <v>7</v>
      </c>
      <c r="F86" s="13"/>
    </row>
    <row r="87" spans="1:10" x14ac:dyDescent="0.25">
      <c r="A87" s="20"/>
      <c r="B87" s="21"/>
      <c r="C87" s="21"/>
      <c r="F87" s="13"/>
    </row>
    <row r="88" spans="1:10" ht="15.75" thickBot="1" x14ac:dyDescent="0.3">
      <c r="A88" s="22"/>
      <c r="B88" s="23"/>
      <c r="C88" s="23"/>
      <c r="D88" s="23"/>
      <c r="E88" s="23"/>
      <c r="F88" s="24"/>
    </row>
    <row r="89" spans="1:10" ht="15.75" thickBot="1" x14ac:dyDescent="0.3"/>
    <row r="90" spans="1:10" x14ac:dyDescent="0.25">
      <c r="A90" s="70" t="s">
        <v>62</v>
      </c>
      <c r="B90" s="71"/>
      <c r="C90" s="71"/>
      <c r="D90" s="7" t="s">
        <v>40</v>
      </c>
      <c r="E90" s="7"/>
      <c r="F90" s="8"/>
      <c r="G90" s="11"/>
      <c r="H90" s="67" t="s">
        <v>32</v>
      </c>
      <c r="I90" s="67"/>
      <c r="J90" s="67"/>
    </row>
    <row r="91" spans="1:10" x14ac:dyDescent="0.25">
      <c r="A91" s="12"/>
      <c r="F91" s="13"/>
      <c r="H91" s="66" t="s">
        <v>55</v>
      </c>
      <c r="I91" s="66"/>
      <c r="J91" s="66"/>
    </row>
    <row r="92" spans="1:10" x14ac:dyDescent="0.25">
      <c r="A92" s="14" t="s">
        <v>11</v>
      </c>
      <c r="B92" s="15" t="s">
        <v>13</v>
      </c>
      <c r="C92" s="15" t="s">
        <v>12</v>
      </c>
      <c r="D92" s="11"/>
      <c r="E92" s="11"/>
      <c r="F92" s="16"/>
      <c r="G92" s="11"/>
      <c r="H92" s="66" t="s">
        <v>56</v>
      </c>
      <c r="I92" s="66"/>
      <c r="J92" s="66"/>
    </row>
    <row r="93" spans="1:10" x14ac:dyDescent="0.25">
      <c r="A93" s="17" t="s">
        <v>19</v>
      </c>
      <c r="B93" s="57">
        <v>96.88</v>
      </c>
      <c r="C93" s="18" t="s">
        <v>14</v>
      </c>
      <c r="E93" s="62" t="s">
        <v>45</v>
      </c>
      <c r="F93" s="63"/>
      <c r="H93" s="66" t="s">
        <v>57</v>
      </c>
      <c r="I93" s="66"/>
      <c r="J93" s="66"/>
    </row>
    <row r="94" spans="1:10" x14ac:dyDescent="0.25">
      <c r="A94" s="17" t="s">
        <v>1</v>
      </c>
      <c r="B94" s="96">
        <v>4</v>
      </c>
      <c r="C94" s="18" t="s">
        <v>8</v>
      </c>
      <c r="E94" s="64" t="s">
        <v>165</v>
      </c>
      <c r="F94" s="65"/>
    </row>
    <row r="95" spans="1:10" x14ac:dyDescent="0.25">
      <c r="A95" s="17" t="s">
        <v>2</v>
      </c>
      <c r="B95" s="19">
        <f>B93*B94/100</f>
        <v>3.8752</v>
      </c>
      <c r="C95" s="18" t="s">
        <v>9</v>
      </c>
      <c r="F95" s="13"/>
    </row>
    <row r="96" spans="1:10" x14ac:dyDescent="0.25">
      <c r="A96" s="17" t="s">
        <v>3</v>
      </c>
      <c r="B96" s="19">
        <f>(B93-B95)/0.8</f>
        <v>116.25599999999999</v>
      </c>
      <c r="C96" s="18" t="s">
        <v>49</v>
      </c>
      <c r="F96" s="13"/>
    </row>
    <row r="97" spans="1:10" x14ac:dyDescent="0.25">
      <c r="A97" s="17" t="s">
        <v>4</v>
      </c>
      <c r="B97" s="19">
        <f>(B96*20%-B95)</f>
        <v>19.375999999999998</v>
      </c>
      <c r="C97" s="18" t="s">
        <v>50</v>
      </c>
      <c r="F97" s="13"/>
    </row>
    <row r="98" spans="1:10" x14ac:dyDescent="0.25">
      <c r="A98" s="17" t="s">
        <v>6</v>
      </c>
      <c r="B98" s="19">
        <f>B93+B97</f>
        <v>116.256</v>
      </c>
      <c r="C98" s="18" t="s">
        <v>7</v>
      </c>
      <c r="F98" s="13"/>
    </row>
    <row r="99" spans="1:10" x14ac:dyDescent="0.25">
      <c r="A99" s="20"/>
      <c r="B99" s="21"/>
      <c r="C99" s="21"/>
      <c r="F99" s="13"/>
    </row>
    <row r="100" spans="1:10" ht="15.75" thickBot="1" x14ac:dyDescent="0.3">
      <c r="A100" s="22"/>
      <c r="B100" s="23"/>
      <c r="C100" s="23"/>
      <c r="D100" s="23"/>
      <c r="E100" s="23"/>
      <c r="F100" s="24"/>
    </row>
    <row r="101" spans="1:10" ht="15.75" thickBot="1" x14ac:dyDescent="0.3"/>
    <row r="102" spans="1:10" x14ac:dyDescent="0.25">
      <c r="A102" s="70" t="s">
        <v>145</v>
      </c>
      <c r="B102" s="71"/>
      <c r="C102" s="71"/>
      <c r="D102" s="7" t="s">
        <v>100</v>
      </c>
      <c r="E102" s="7"/>
      <c r="F102" s="8"/>
      <c r="H102" s="67" t="s">
        <v>32</v>
      </c>
      <c r="I102" s="67"/>
      <c r="J102" s="67"/>
    </row>
    <row r="103" spans="1:10" x14ac:dyDescent="0.25">
      <c r="A103" s="12"/>
      <c r="F103" s="13"/>
      <c r="H103" s="66" t="s">
        <v>150</v>
      </c>
      <c r="I103" s="66"/>
      <c r="J103" s="66"/>
    </row>
    <row r="104" spans="1:10" x14ac:dyDescent="0.25">
      <c r="A104" s="14" t="s">
        <v>11</v>
      </c>
      <c r="B104" s="15" t="s">
        <v>13</v>
      </c>
      <c r="C104" s="15" t="s">
        <v>12</v>
      </c>
      <c r="D104" s="11"/>
      <c r="E104" s="11"/>
      <c r="F104" s="16"/>
      <c r="H104" s="66" t="s">
        <v>151</v>
      </c>
      <c r="I104" s="66"/>
      <c r="J104" s="66"/>
    </row>
    <row r="105" spans="1:10" x14ac:dyDescent="0.25">
      <c r="A105" s="17" t="s">
        <v>19</v>
      </c>
      <c r="B105" s="57">
        <v>32.29</v>
      </c>
      <c r="C105" s="18" t="s">
        <v>14</v>
      </c>
      <c r="E105" s="62" t="s">
        <v>46</v>
      </c>
      <c r="F105" s="63"/>
      <c r="H105" s="66" t="s">
        <v>152</v>
      </c>
      <c r="I105" s="66"/>
      <c r="J105" s="66"/>
    </row>
    <row r="106" spans="1:10" x14ac:dyDescent="0.25">
      <c r="A106" s="17" t="s">
        <v>1</v>
      </c>
      <c r="B106" s="96">
        <v>4</v>
      </c>
      <c r="C106" s="18" t="s">
        <v>8</v>
      </c>
      <c r="E106" s="60" t="s">
        <v>156</v>
      </c>
      <c r="F106" s="61"/>
    </row>
    <row r="107" spans="1:10" x14ac:dyDescent="0.25">
      <c r="A107" s="17" t="s">
        <v>2</v>
      </c>
      <c r="B107" s="19">
        <f>B105*B106/100</f>
        <v>1.2915999999999999</v>
      </c>
      <c r="C107" s="18" t="s">
        <v>9</v>
      </c>
      <c r="F107" s="13"/>
    </row>
    <row r="108" spans="1:10" x14ac:dyDescent="0.25">
      <c r="A108" s="17" t="s">
        <v>3</v>
      </c>
      <c r="B108" s="19">
        <f>(B105-B107)/0.795</f>
        <v>38.991698113207548</v>
      </c>
      <c r="C108" s="18" t="s">
        <v>51</v>
      </c>
      <c r="F108" s="13"/>
    </row>
    <row r="109" spans="1:10" x14ac:dyDescent="0.25">
      <c r="A109" s="17" t="s">
        <v>4</v>
      </c>
      <c r="B109" s="19">
        <f>(B108*20.5%-B107)</f>
        <v>6.7016981132075468</v>
      </c>
      <c r="C109" s="18" t="s">
        <v>146</v>
      </c>
      <c r="F109" s="13"/>
    </row>
    <row r="110" spans="1:10" x14ac:dyDescent="0.25">
      <c r="A110" s="17" t="s">
        <v>6</v>
      </c>
      <c r="B110" s="19">
        <f>B105+B109</f>
        <v>38.991698113207548</v>
      </c>
      <c r="C110" s="18" t="s">
        <v>7</v>
      </c>
      <c r="F110" s="13"/>
    </row>
    <row r="111" spans="1:10" x14ac:dyDescent="0.25">
      <c r="A111" s="20"/>
      <c r="B111" s="21"/>
      <c r="C111" s="21"/>
      <c r="F111" s="13"/>
    </row>
    <row r="112" spans="1:10" ht="15.75" thickBot="1" x14ac:dyDescent="0.3">
      <c r="A112" s="22"/>
      <c r="B112" s="23"/>
      <c r="C112" s="23"/>
      <c r="D112" s="23"/>
      <c r="E112" s="23"/>
      <c r="F112" s="24"/>
    </row>
    <row r="113" spans="1:10" ht="15.75" thickBot="1" x14ac:dyDescent="0.3"/>
    <row r="114" spans="1:10" x14ac:dyDescent="0.25">
      <c r="A114" s="72" t="s">
        <v>147</v>
      </c>
      <c r="B114" s="73"/>
      <c r="C114" s="73"/>
      <c r="D114" s="7" t="s">
        <v>157</v>
      </c>
      <c r="E114" s="7"/>
      <c r="F114" s="8"/>
      <c r="H114" s="69" t="s">
        <v>32</v>
      </c>
      <c r="I114" s="69"/>
      <c r="J114" s="69"/>
    </row>
    <row r="115" spans="1:10" x14ac:dyDescent="0.25">
      <c r="A115" s="12"/>
      <c r="F115" s="13"/>
      <c r="H115" s="68" t="s">
        <v>161</v>
      </c>
      <c r="I115" s="68"/>
      <c r="J115" s="68"/>
    </row>
    <row r="116" spans="1:10" x14ac:dyDescent="0.25">
      <c r="A116" s="14" t="s">
        <v>11</v>
      </c>
      <c r="B116" s="15" t="s">
        <v>13</v>
      </c>
      <c r="C116" s="15" t="s">
        <v>12</v>
      </c>
      <c r="D116" s="11"/>
      <c r="E116" s="11"/>
      <c r="F116" s="16"/>
      <c r="H116" s="68" t="s">
        <v>160</v>
      </c>
      <c r="I116" s="68"/>
      <c r="J116" s="68"/>
    </row>
    <row r="117" spans="1:10" x14ac:dyDescent="0.25">
      <c r="A117" s="17" t="s">
        <v>0</v>
      </c>
      <c r="B117" s="57">
        <v>100</v>
      </c>
      <c r="C117" s="18" t="s">
        <v>14</v>
      </c>
      <c r="E117" s="60" t="s">
        <v>46</v>
      </c>
      <c r="F117" s="61"/>
      <c r="H117" s="68" t="s">
        <v>158</v>
      </c>
      <c r="I117" s="68"/>
      <c r="J117" s="68"/>
    </row>
    <row r="118" spans="1:10" x14ac:dyDescent="0.25">
      <c r="A118" s="17" t="s">
        <v>1</v>
      </c>
      <c r="B118" s="18">
        <v>7</v>
      </c>
      <c r="C118" s="18" t="s">
        <v>8</v>
      </c>
      <c r="E118" s="60" t="s">
        <v>41</v>
      </c>
      <c r="F118" s="61"/>
    </row>
    <row r="119" spans="1:10" x14ac:dyDescent="0.25">
      <c r="A119" s="17" t="s">
        <v>2</v>
      </c>
      <c r="B119" s="19">
        <f>B117*B118/100</f>
        <v>7</v>
      </c>
      <c r="C119" s="18" t="s">
        <v>9</v>
      </c>
      <c r="F119" s="13"/>
    </row>
    <row r="120" spans="1:10" x14ac:dyDescent="0.25">
      <c r="A120" s="17" t="s">
        <v>3</v>
      </c>
      <c r="B120" s="19">
        <f>(B117-B119)/0.775</f>
        <v>120</v>
      </c>
      <c r="C120" s="18" t="s">
        <v>149</v>
      </c>
      <c r="F120" s="13"/>
    </row>
    <row r="121" spans="1:10" x14ac:dyDescent="0.25">
      <c r="A121" s="17" t="s">
        <v>4</v>
      </c>
      <c r="B121" s="19">
        <f>(B120*22.5%-B119)</f>
        <v>20</v>
      </c>
      <c r="C121" s="18" t="s">
        <v>148</v>
      </c>
      <c r="F121" s="13"/>
    </row>
    <row r="122" spans="1:10" x14ac:dyDescent="0.25">
      <c r="A122" s="17" t="s">
        <v>6</v>
      </c>
      <c r="B122" s="19">
        <f>B117+B121</f>
        <v>120</v>
      </c>
      <c r="C122" s="18" t="s">
        <v>7</v>
      </c>
      <c r="F122" s="13"/>
    </row>
    <row r="123" spans="1:10" x14ac:dyDescent="0.25">
      <c r="A123" s="58"/>
      <c r="B123" s="59"/>
      <c r="C123" s="59"/>
      <c r="F123" s="13"/>
    </row>
    <row r="124" spans="1:10" ht="15.75" thickBot="1" x14ac:dyDescent="0.3">
      <c r="A124" s="22"/>
      <c r="B124" s="23"/>
      <c r="C124" s="23"/>
      <c r="D124" s="23"/>
      <c r="E124" s="23"/>
      <c r="F124" s="24"/>
    </row>
    <row r="125" spans="1:10" ht="15.75" thickBot="1" x14ac:dyDescent="0.3"/>
    <row r="126" spans="1:10" x14ac:dyDescent="0.25">
      <c r="A126" s="72" t="s">
        <v>147</v>
      </c>
      <c r="B126" s="73"/>
      <c r="C126" s="73"/>
      <c r="D126" s="7" t="s">
        <v>159</v>
      </c>
      <c r="E126" s="7"/>
      <c r="F126" s="8"/>
      <c r="H126" s="69" t="s">
        <v>32</v>
      </c>
      <c r="I126" s="69"/>
      <c r="J126" s="69"/>
    </row>
    <row r="127" spans="1:10" x14ac:dyDescent="0.25">
      <c r="A127" s="12"/>
      <c r="F127" s="13"/>
      <c r="H127" s="68" t="s">
        <v>164</v>
      </c>
      <c r="I127" s="68"/>
      <c r="J127" s="68"/>
    </row>
    <row r="128" spans="1:10" x14ac:dyDescent="0.25">
      <c r="A128" s="14" t="s">
        <v>11</v>
      </c>
      <c r="B128" s="15" t="s">
        <v>13</v>
      </c>
      <c r="C128" s="15" t="s">
        <v>12</v>
      </c>
      <c r="D128" s="11"/>
      <c r="E128" s="11"/>
      <c r="F128" s="16"/>
      <c r="H128" s="68" t="s">
        <v>163</v>
      </c>
      <c r="I128" s="68"/>
      <c r="J128" s="68"/>
    </row>
    <row r="129" spans="1:10" x14ac:dyDescent="0.25">
      <c r="A129" s="17" t="s">
        <v>0</v>
      </c>
      <c r="B129" s="57">
        <v>100</v>
      </c>
      <c r="C129" s="18" t="s">
        <v>14</v>
      </c>
      <c r="E129" s="60" t="s">
        <v>46</v>
      </c>
      <c r="F129" s="61"/>
      <c r="H129" s="68" t="s">
        <v>162</v>
      </c>
      <c r="I129" s="68"/>
      <c r="J129" s="68"/>
    </row>
    <row r="130" spans="1:10" x14ac:dyDescent="0.25">
      <c r="A130" s="17" t="s">
        <v>1</v>
      </c>
      <c r="B130" s="18">
        <v>4</v>
      </c>
      <c r="C130" s="18" t="s">
        <v>8</v>
      </c>
      <c r="E130" s="60" t="s">
        <v>72</v>
      </c>
      <c r="F130" s="61"/>
    </row>
    <row r="131" spans="1:10" x14ac:dyDescent="0.25">
      <c r="A131" s="17" t="s">
        <v>2</v>
      </c>
      <c r="B131" s="19">
        <f>B129*B130/100</f>
        <v>4</v>
      </c>
      <c r="C131" s="18" t="s">
        <v>9</v>
      </c>
      <c r="F131" s="13"/>
    </row>
    <row r="132" spans="1:10" x14ac:dyDescent="0.25">
      <c r="A132" s="17" t="s">
        <v>3</v>
      </c>
      <c r="B132" s="19">
        <f>(B129-B131)/0.7</f>
        <v>137.14285714285714</v>
      </c>
      <c r="C132" s="18" t="s">
        <v>149</v>
      </c>
      <c r="F132" s="13"/>
    </row>
    <row r="133" spans="1:10" x14ac:dyDescent="0.25">
      <c r="A133" s="17" t="s">
        <v>4</v>
      </c>
      <c r="B133" s="19">
        <f>(B132*23%-B131)</f>
        <v>27.542857142857144</v>
      </c>
      <c r="C133" s="18" t="s">
        <v>148</v>
      </c>
      <c r="F133" s="13"/>
    </row>
    <row r="134" spans="1:10" x14ac:dyDescent="0.25">
      <c r="A134" s="17" t="s">
        <v>6</v>
      </c>
      <c r="B134" s="19">
        <f>B129+B133</f>
        <v>127.54285714285714</v>
      </c>
      <c r="C134" s="18" t="s">
        <v>7</v>
      </c>
      <c r="F134" s="13"/>
    </row>
    <row r="135" spans="1:10" x14ac:dyDescent="0.25">
      <c r="A135" s="58"/>
      <c r="B135" s="59"/>
      <c r="C135" s="59"/>
      <c r="F135" s="13"/>
    </row>
    <row r="136" spans="1:10" ht="15.75" thickBot="1" x14ac:dyDescent="0.3">
      <c r="A136" s="22"/>
      <c r="B136" s="23"/>
      <c r="C136" s="23"/>
      <c r="D136" s="23"/>
      <c r="E136" s="23"/>
      <c r="F136" s="24"/>
    </row>
  </sheetData>
  <sheetProtection formatCells="0" formatColumns="0" formatRows="0" insertColumns="0" insertRows="0" insertHyperlinks="0" deleteColumns="0" deleteRows="0" sort="0" autoFilter="0" pivotTables="0"/>
  <mergeCells count="77">
    <mergeCell ref="E81:F81"/>
    <mergeCell ref="H81:J81"/>
    <mergeCell ref="E82:F82"/>
    <mergeCell ref="E45:F45"/>
    <mergeCell ref="A78:C78"/>
    <mergeCell ref="H78:J78"/>
    <mergeCell ref="H79:J79"/>
    <mergeCell ref="H80:J80"/>
    <mergeCell ref="E117:F117"/>
    <mergeCell ref="A114:C114"/>
    <mergeCell ref="H117:J117"/>
    <mergeCell ref="E118:F118"/>
    <mergeCell ref="A17:C17"/>
    <mergeCell ref="H17:J17"/>
    <mergeCell ref="H18:J18"/>
    <mergeCell ref="H19:J19"/>
    <mergeCell ref="E20:F20"/>
    <mergeCell ref="H20:J20"/>
    <mergeCell ref="E21:F21"/>
    <mergeCell ref="A41:C41"/>
    <mergeCell ref="H41:J41"/>
    <mergeCell ref="H42:J42"/>
    <mergeCell ref="H43:J43"/>
    <mergeCell ref="E44:F44"/>
    <mergeCell ref="H114:J114"/>
    <mergeCell ref="H115:J115"/>
    <mergeCell ref="H116:J116"/>
    <mergeCell ref="H102:J102"/>
    <mergeCell ref="H103:J103"/>
    <mergeCell ref="H104:J104"/>
    <mergeCell ref="H105:J105"/>
    <mergeCell ref="H91:J91"/>
    <mergeCell ref="H92:J92"/>
    <mergeCell ref="H93:J93"/>
    <mergeCell ref="A5:C5"/>
    <mergeCell ref="A126:C126"/>
    <mergeCell ref="A29:C29"/>
    <mergeCell ref="A66:C66"/>
    <mergeCell ref="A90:C90"/>
    <mergeCell ref="A102:C102"/>
    <mergeCell ref="A53:C53"/>
    <mergeCell ref="H129:J129"/>
    <mergeCell ref="H128:J128"/>
    <mergeCell ref="H127:J127"/>
    <mergeCell ref="H126:J126"/>
    <mergeCell ref="H29:J29"/>
    <mergeCell ref="H30:J30"/>
    <mergeCell ref="H31:J31"/>
    <mergeCell ref="H32:J32"/>
    <mergeCell ref="H66:J66"/>
    <mergeCell ref="H68:J68"/>
    <mergeCell ref="H69:J69"/>
    <mergeCell ref="H90:J90"/>
    <mergeCell ref="H67:J67"/>
    <mergeCell ref="H8:J8"/>
    <mergeCell ref="H7:J7"/>
    <mergeCell ref="H6:J6"/>
    <mergeCell ref="H5:J5"/>
    <mergeCell ref="H53:J53"/>
    <mergeCell ref="H54:J54"/>
    <mergeCell ref="H55:J55"/>
    <mergeCell ref="H56:J56"/>
    <mergeCell ref="H44:J44"/>
    <mergeCell ref="E130:F130"/>
    <mergeCell ref="E8:F8"/>
    <mergeCell ref="E9:F9"/>
    <mergeCell ref="E129:F129"/>
    <mergeCell ref="E32:F32"/>
    <mergeCell ref="E94:F94"/>
    <mergeCell ref="E70:F70"/>
    <mergeCell ref="E33:F33"/>
    <mergeCell ref="E69:F69"/>
    <mergeCell ref="E93:F93"/>
    <mergeCell ref="E57:F57"/>
    <mergeCell ref="E105:F105"/>
    <mergeCell ref="E106:F106"/>
    <mergeCell ref="E56:F56"/>
  </mergeCells>
  <dataValidations count="4">
    <dataValidation type="list" allowBlank="1" showInputMessage="1" showErrorMessage="1" sqref="B106" xr:uid="{EB9EA036-A8C9-4468-BA07-C8D5168CE954}">
      <formula1>"4,7,12"</formula1>
    </dataValidation>
    <dataValidation type="list" allowBlank="1" showInputMessage="1" showErrorMessage="1" sqref="B9 B33 B57" xr:uid="{C8D9B785-E967-47B6-8215-926EAB3DF45F}">
      <formula1>"4,7,"</formula1>
    </dataValidation>
    <dataValidation type="list" allowBlank="1" showInputMessage="1" showErrorMessage="1" sqref="B21 B45 B70" xr:uid="{A07FAC13-A6A6-405F-8863-1B4242DF8706}">
      <formula1>"4,12"</formula1>
    </dataValidation>
    <dataValidation type="list" allowBlank="1" showInputMessage="1" showErrorMessage="1" sqref="B82 B94 B118 B130" xr:uid="{8DD96219-FDCD-4475-874B-2459B4373AE7}">
      <formula1>"4,7"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B58F-815D-4573-AF82-2D256F496CEC}">
  <dimension ref="A1:O44"/>
  <sheetViews>
    <sheetView workbookViewId="0">
      <selection activeCell="B18" sqref="B18"/>
    </sheetView>
  </sheetViews>
  <sheetFormatPr defaultColWidth="32.140625" defaultRowHeight="15" x14ac:dyDescent="0.25"/>
  <cols>
    <col min="1" max="1" width="26.140625" bestFit="1" customWidth="1"/>
    <col min="2" max="2" width="10.140625" bestFit="1" customWidth="1"/>
    <col min="3" max="3" width="76.5703125" bestFit="1" customWidth="1"/>
    <col min="5" max="5" width="8.5703125" bestFit="1" customWidth="1"/>
    <col min="6" max="6" width="4.140625" bestFit="1" customWidth="1"/>
    <col min="7" max="7" width="22.140625" bestFit="1" customWidth="1"/>
    <col min="8" max="8" width="5.7109375" bestFit="1" customWidth="1"/>
    <col min="9" max="9" width="4.5703125" bestFit="1" customWidth="1"/>
    <col min="10" max="10" width="24.140625" bestFit="1" customWidth="1"/>
    <col min="11" max="11" width="23.85546875" bestFit="1" customWidth="1"/>
    <col min="12" max="12" width="35.28515625" bestFit="1" customWidth="1"/>
    <col min="13" max="13" width="24.42578125" bestFit="1" customWidth="1"/>
    <col min="14" max="15" width="0" hidden="1" customWidth="1"/>
  </cols>
  <sheetData>
    <row r="1" spans="1:13" s="1" customFormat="1" x14ac:dyDescent="0.25">
      <c r="A1" s="80" t="s">
        <v>21</v>
      </c>
      <c r="B1" s="81"/>
      <c r="C1" s="82"/>
    </row>
    <row r="2" spans="1:13" x14ac:dyDescent="0.25">
      <c r="A2" s="83"/>
      <c r="B2" s="84"/>
      <c r="C2" s="85"/>
    </row>
    <row r="3" spans="1:13" ht="15.75" thickBot="1" x14ac:dyDescent="0.3">
      <c r="A3" s="86" t="s">
        <v>28</v>
      </c>
      <c r="B3" s="87"/>
      <c r="C3" s="88"/>
    </row>
    <row r="4" spans="1:13" s="1" customFormat="1" x14ac:dyDescent="0.25">
      <c r="A4" s="89" t="s">
        <v>70</v>
      </c>
      <c r="B4" s="90"/>
      <c r="C4" s="91"/>
    </row>
    <row r="5" spans="1:13" ht="15.75" thickBot="1" x14ac:dyDescent="0.3">
      <c r="A5" s="29" t="s">
        <v>27</v>
      </c>
      <c r="B5" s="30">
        <v>47.5</v>
      </c>
      <c r="C5" s="31" t="s">
        <v>23</v>
      </c>
    </row>
    <row r="6" spans="1:13" ht="15.75" thickBot="1" x14ac:dyDescent="0.3">
      <c r="A6" s="32" t="s">
        <v>71</v>
      </c>
      <c r="B6" s="33" t="s">
        <v>93</v>
      </c>
      <c r="C6" s="34" t="str">
        <f>VLOOKUP(B6,F18:H44,2,FALSE)</f>
        <v>AMAZONAS</v>
      </c>
    </row>
    <row r="7" spans="1:13" x14ac:dyDescent="0.25">
      <c r="A7" s="35" t="s">
        <v>73</v>
      </c>
      <c r="B7" s="36">
        <f>VLOOKUP(B6,F18:H44,3,FALSE)</f>
        <v>0.8</v>
      </c>
      <c r="C7" s="37" t="s">
        <v>153</v>
      </c>
    </row>
    <row r="8" spans="1:13" x14ac:dyDescent="0.25">
      <c r="A8" s="38" t="s">
        <v>24</v>
      </c>
      <c r="B8" s="39">
        <f>B5/B7</f>
        <v>59.375</v>
      </c>
      <c r="C8" s="40" t="s">
        <v>74</v>
      </c>
    </row>
    <row r="9" spans="1:13" x14ac:dyDescent="0.25">
      <c r="A9" s="92" t="s">
        <v>26</v>
      </c>
      <c r="B9" s="93"/>
      <c r="C9" s="94"/>
    </row>
    <row r="10" spans="1:13" x14ac:dyDescent="0.25">
      <c r="A10" s="29" t="s">
        <v>22</v>
      </c>
      <c r="B10" s="41">
        <f>B8</f>
        <v>59.375</v>
      </c>
      <c r="C10" s="42"/>
    </row>
    <row r="11" spans="1:13" x14ac:dyDescent="0.25">
      <c r="A11" s="43" t="s">
        <v>71</v>
      </c>
      <c r="B11" s="44" t="str">
        <f>B6</f>
        <v>AM</v>
      </c>
      <c r="C11" s="43" t="str">
        <f>VLOOKUP(B11,F18:H44,2,FALSE)</f>
        <v>AMAZONAS</v>
      </c>
    </row>
    <row r="12" spans="1:13" x14ac:dyDescent="0.25">
      <c r="A12" s="45" t="s">
        <v>75</v>
      </c>
      <c r="B12" s="46" t="s">
        <v>76</v>
      </c>
      <c r="C12" s="45"/>
    </row>
    <row r="13" spans="1:13" ht="15.75" thickBot="1" x14ac:dyDescent="0.3">
      <c r="A13" s="43" t="s">
        <v>77</v>
      </c>
      <c r="B13" s="47">
        <f>IF(B12="Importado",4%,VLOOKUP(B11,F18:I44,4,FALSE))</f>
        <v>7.0000000000000007E-2</v>
      </c>
      <c r="C13" s="43" t="s">
        <v>25</v>
      </c>
    </row>
    <row r="14" spans="1:13" ht="15" customHeight="1" x14ac:dyDescent="0.25">
      <c r="A14" s="43" t="s">
        <v>78</v>
      </c>
      <c r="B14" s="48">
        <f>B10*B13</f>
        <v>4.15625</v>
      </c>
      <c r="C14" s="49" t="s">
        <v>79</v>
      </c>
      <c r="F14" s="75" t="s">
        <v>141</v>
      </c>
      <c r="G14" s="76"/>
      <c r="H14" s="76"/>
      <c r="I14" s="76"/>
      <c r="J14" s="76"/>
      <c r="K14" s="76"/>
      <c r="L14" s="76"/>
      <c r="M14" s="77"/>
    </row>
    <row r="15" spans="1:13" ht="15" customHeight="1" x14ac:dyDescent="0.25">
      <c r="A15" s="45" t="s">
        <v>80</v>
      </c>
      <c r="B15" s="50">
        <f>B10</f>
        <v>59.375</v>
      </c>
      <c r="C15" s="45"/>
      <c r="F15" s="78"/>
      <c r="G15" s="109"/>
      <c r="H15" s="109"/>
      <c r="I15" s="109"/>
      <c r="J15" s="109"/>
      <c r="K15" s="109"/>
      <c r="L15" s="109"/>
      <c r="M15" s="79"/>
    </row>
    <row r="16" spans="1:13" ht="15" customHeight="1" x14ac:dyDescent="0.25">
      <c r="A16" s="43" t="s">
        <v>81</v>
      </c>
      <c r="B16" s="48">
        <f>B15</f>
        <v>59.375</v>
      </c>
      <c r="C16" s="49"/>
      <c r="F16" s="78"/>
      <c r="G16" s="109"/>
      <c r="H16" s="109"/>
      <c r="I16" s="109"/>
      <c r="J16" s="109"/>
      <c r="K16" s="109"/>
      <c r="L16" s="109"/>
      <c r="M16" s="79"/>
    </row>
    <row r="17" spans="1:15" ht="15.75" customHeight="1" thickBot="1" x14ac:dyDescent="0.3">
      <c r="A17" s="43" t="s">
        <v>82</v>
      </c>
      <c r="B17" s="51">
        <f>VLOOKUP(B11,F18:J44,5,FALSE)</f>
        <v>0.2</v>
      </c>
      <c r="C17" s="49"/>
      <c r="F17" s="78"/>
      <c r="G17" s="109"/>
      <c r="H17" s="109"/>
      <c r="I17" s="109"/>
      <c r="J17" s="109"/>
      <c r="K17" s="109"/>
      <c r="L17" s="109"/>
      <c r="M17" s="79"/>
    </row>
    <row r="18" spans="1:15" x14ac:dyDescent="0.25">
      <c r="A18" s="43" t="s">
        <v>83</v>
      </c>
      <c r="B18" s="44">
        <f>(B16*B17)-B14</f>
        <v>7.71875</v>
      </c>
      <c r="C18" s="49" t="s">
        <v>84</v>
      </c>
      <c r="F18" s="104" t="s">
        <v>85</v>
      </c>
      <c r="G18" s="105" t="s">
        <v>86</v>
      </c>
      <c r="H18" s="105" t="s">
        <v>87</v>
      </c>
      <c r="I18" s="105" t="s">
        <v>88</v>
      </c>
      <c r="J18" s="106" t="s">
        <v>89</v>
      </c>
      <c r="M18" s="2"/>
    </row>
    <row r="19" spans="1:15" x14ac:dyDescent="0.25">
      <c r="A19" s="45" t="s">
        <v>90</v>
      </c>
      <c r="B19" s="50">
        <f>B5+B14+B18</f>
        <v>59.375</v>
      </c>
      <c r="C19" s="45" t="s">
        <v>91</v>
      </c>
      <c r="E19" s="27">
        <f>H19+J19</f>
        <v>1</v>
      </c>
      <c r="F19" s="98" t="s">
        <v>106</v>
      </c>
      <c r="G19" s="99" t="s">
        <v>107</v>
      </c>
      <c r="H19" s="99">
        <v>0.81</v>
      </c>
      <c r="I19" s="100">
        <v>7.0000000000000007E-2</v>
      </c>
      <c r="J19" s="107">
        <v>0.19</v>
      </c>
      <c r="L19" s="54" t="s">
        <v>45</v>
      </c>
      <c r="M19" s="55" t="s">
        <v>32</v>
      </c>
      <c r="N19" s="5"/>
      <c r="O19" s="5"/>
    </row>
    <row r="20" spans="1:15" x14ac:dyDescent="0.25">
      <c r="A20" s="52" t="s">
        <v>26</v>
      </c>
      <c r="B20" s="74" t="str">
        <f>IF(B8=B19, "Dados validados", "verificar valores")</f>
        <v>Dados validados</v>
      </c>
      <c r="C20" s="74"/>
      <c r="E20" s="27">
        <f t="shared" ref="E20:E44" si="0">H20+J20</f>
        <v>1</v>
      </c>
      <c r="F20" s="98" t="s">
        <v>108</v>
      </c>
      <c r="G20" s="99" t="s">
        <v>109</v>
      </c>
      <c r="H20" s="99">
        <v>0.79500000000000004</v>
      </c>
      <c r="I20" s="100">
        <v>7.0000000000000007E-2</v>
      </c>
      <c r="J20" s="107">
        <v>0.20499999999999999</v>
      </c>
      <c r="K20" s="97" t="s">
        <v>16</v>
      </c>
      <c r="L20" s="1" t="s">
        <v>142</v>
      </c>
      <c r="M20" s="56" t="s">
        <v>58</v>
      </c>
      <c r="N20" s="5"/>
      <c r="O20" s="5"/>
    </row>
    <row r="21" spans="1:15" x14ac:dyDescent="0.25">
      <c r="E21" s="27">
        <f t="shared" si="0"/>
        <v>1</v>
      </c>
      <c r="F21" s="98" t="s">
        <v>93</v>
      </c>
      <c r="G21" s="99" t="s">
        <v>94</v>
      </c>
      <c r="H21" s="99">
        <v>0.8</v>
      </c>
      <c r="I21" s="100">
        <v>7.0000000000000007E-2</v>
      </c>
      <c r="J21" s="107">
        <v>0.2</v>
      </c>
      <c r="K21" s="97" t="s">
        <v>10</v>
      </c>
      <c r="L21" s="1" t="s">
        <v>154</v>
      </c>
      <c r="M21" s="56" t="s">
        <v>36</v>
      </c>
      <c r="N21" s="5"/>
      <c r="O21" s="5"/>
    </row>
    <row r="22" spans="1:15" x14ac:dyDescent="0.25">
      <c r="E22" s="27">
        <f t="shared" si="0"/>
        <v>1</v>
      </c>
      <c r="F22" s="98" t="s">
        <v>116</v>
      </c>
      <c r="G22" s="99" t="s">
        <v>117</v>
      </c>
      <c r="H22" s="99">
        <v>0.82</v>
      </c>
      <c r="I22" s="100">
        <v>7.0000000000000007E-2</v>
      </c>
      <c r="J22" s="107">
        <v>0.18</v>
      </c>
      <c r="K22" s="97" t="s">
        <v>39</v>
      </c>
      <c r="L22" s="1" t="s">
        <v>155</v>
      </c>
      <c r="M22" s="56" t="s">
        <v>44</v>
      </c>
      <c r="N22" s="5"/>
      <c r="O22" s="5"/>
    </row>
    <row r="23" spans="1:15" x14ac:dyDescent="0.25">
      <c r="E23" s="27">
        <f t="shared" si="0"/>
        <v>1</v>
      </c>
      <c r="F23" s="98" t="s">
        <v>110</v>
      </c>
      <c r="G23" s="99" t="s">
        <v>111</v>
      </c>
      <c r="H23" s="99">
        <v>0.79500000000000004</v>
      </c>
      <c r="I23" s="100">
        <v>7.0000000000000007E-2</v>
      </c>
      <c r="J23" s="107">
        <v>0.20499999999999999</v>
      </c>
      <c r="K23" s="97" t="s">
        <v>63</v>
      </c>
      <c r="L23" s="1" t="s">
        <v>144</v>
      </c>
      <c r="M23" s="56" t="s">
        <v>65</v>
      </c>
      <c r="N23" s="5"/>
      <c r="O23" s="5"/>
    </row>
    <row r="24" spans="1:15" x14ac:dyDescent="0.25">
      <c r="E24" s="27">
        <f t="shared" si="0"/>
        <v>1</v>
      </c>
      <c r="F24" s="98" t="s">
        <v>118</v>
      </c>
      <c r="G24" s="99" t="s">
        <v>119</v>
      </c>
      <c r="H24" s="99">
        <v>0.8</v>
      </c>
      <c r="I24" s="100">
        <v>7.0000000000000007E-2</v>
      </c>
      <c r="J24" s="107">
        <v>0.2</v>
      </c>
      <c r="K24" s="97" t="s">
        <v>40</v>
      </c>
      <c r="L24" s="1" t="s">
        <v>173</v>
      </c>
      <c r="M24" s="56" t="s">
        <v>43</v>
      </c>
      <c r="N24" s="6"/>
      <c r="O24" s="6"/>
    </row>
    <row r="25" spans="1:15" x14ac:dyDescent="0.25">
      <c r="C25" s="53" t="s">
        <v>37</v>
      </c>
      <c r="E25" s="27">
        <f t="shared" si="0"/>
        <v>1</v>
      </c>
      <c r="F25" s="98" t="s">
        <v>120</v>
      </c>
      <c r="G25" s="99" t="s">
        <v>121</v>
      </c>
      <c r="H25" s="99">
        <v>0.8</v>
      </c>
      <c r="I25" s="100">
        <v>7.0000000000000007E-2</v>
      </c>
      <c r="J25" s="107">
        <v>0.2</v>
      </c>
      <c r="K25" s="97" t="s">
        <v>100</v>
      </c>
      <c r="L25" s="1" t="s">
        <v>156</v>
      </c>
      <c r="M25" s="56" t="s">
        <v>169</v>
      </c>
      <c r="N25" s="6"/>
      <c r="O25" s="6"/>
    </row>
    <row r="26" spans="1:15" x14ac:dyDescent="0.25">
      <c r="C26" t="s">
        <v>38</v>
      </c>
      <c r="E26" s="27">
        <f t="shared" si="0"/>
        <v>1</v>
      </c>
      <c r="F26" s="98" t="s">
        <v>129</v>
      </c>
      <c r="G26" s="99" t="s">
        <v>130</v>
      </c>
      <c r="H26" s="99">
        <v>0.83</v>
      </c>
      <c r="I26" s="100">
        <v>7.0000000000000007E-2</v>
      </c>
      <c r="J26" s="107">
        <v>0.17</v>
      </c>
      <c r="K26" s="97" t="s">
        <v>157</v>
      </c>
      <c r="L26" s="1" t="s">
        <v>41</v>
      </c>
      <c r="M26" s="56" t="s">
        <v>170</v>
      </c>
      <c r="N26" s="6"/>
      <c r="O26" s="6"/>
    </row>
    <row r="27" spans="1:15" x14ac:dyDescent="0.25">
      <c r="E27" s="27">
        <f t="shared" si="0"/>
        <v>1</v>
      </c>
      <c r="F27" s="98" t="s">
        <v>131</v>
      </c>
      <c r="G27" s="99" t="s">
        <v>132</v>
      </c>
      <c r="H27" s="99">
        <v>0.81</v>
      </c>
      <c r="I27" s="100">
        <v>7.0000000000000007E-2</v>
      </c>
      <c r="J27" s="107">
        <v>0.19</v>
      </c>
      <c r="K27" s="97" t="s">
        <v>171</v>
      </c>
      <c r="L27" s="1" t="s">
        <v>72</v>
      </c>
      <c r="M27" s="56" t="s">
        <v>172</v>
      </c>
    </row>
    <row r="28" spans="1:15" x14ac:dyDescent="0.25">
      <c r="E28" s="27">
        <f t="shared" si="0"/>
        <v>1</v>
      </c>
      <c r="F28" s="98" t="s">
        <v>72</v>
      </c>
      <c r="G28" s="99" t="s">
        <v>95</v>
      </c>
      <c r="H28" s="99">
        <v>0.77</v>
      </c>
      <c r="I28" s="100">
        <v>7.0000000000000007E-2</v>
      </c>
      <c r="J28" s="107">
        <v>0.23</v>
      </c>
      <c r="M28" s="2"/>
    </row>
    <row r="29" spans="1:15" x14ac:dyDescent="0.25">
      <c r="E29" s="27">
        <f t="shared" si="0"/>
        <v>1</v>
      </c>
      <c r="F29" s="98" t="s">
        <v>122</v>
      </c>
      <c r="G29" s="99" t="s">
        <v>123</v>
      </c>
      <c r="H29" s="99">
        <v>0.82</v>
      </c>
      <c r="I29" s="100">
        <v>0.12</v>
      </c>
      <c r="J29" s="107">
        <v>0.18</v>
      </c>
      <c r="M29" s="2"/>
    </row>
    <row r="30" spans="1:15" x14ac:dyDescent="0.25">
      <c r="E30" s="27">
        <f t="shared" si="0"/>
        <v>1</v>
      </c>
      <c r="F30" s="98" t="s">
        <v>135</v>
      </c>
      <c r="G30" s="99" t="s">
        <v>136</v>
      </c>
      <c r="H30" s="99">
        <v>0.83</v>
      </c>
      <c r="I30" s="100">
        <v>7.0000000000000007E-2</v>
      </c>
      <c r="J30" s="107">
        <v>0.17</v>
      </c>
      <c r="M30" s="2"/>
    </row>
    <row r="31" spans="1:15" x14ac:dyDescent="0.25">
      <c r="E31" s="27">
        <f t="shared" si="0"/>
        <v>1</v>
      </c>
      <c r="F31" s="98" t="s">
        <v>133</v>
      </c>
      <c r="G31" s="99" t="s">
        <v>134</v>
      </c>
      <c r="H31" s="99">
        <v>0.83</v>
      </c>
      <c r="I31" s="100">
        <v>7.0000000000000007E-2</v>
      </c>
      <c r="J31" s="107">
        <v>0.17</v>
      </c>
      <c r="M31" s="2"/>
    </row>
    <row r="32" spans="1:15" x14ac:dyDescent="0.25">
      <c r="E32" s="27">
        <f t="shared" si="0"/>
        <v>1</v>
      </c>
      <c r="F32" s="98" t="s">
        <v>112</v>
      </c>
      <c r="G32" s="99" t="s">
        <v>113</v>
      </c>
      <c r="H32" s="99">
        <v>0.81</v>
      </c>
      <c r="I32" s="100">
        <v>7.0000000000000007E-2</v>
      </c>
      <c r="J32" s="107">
        <v>0.19</v>
      </c>
      <c r="M32" s="2"/>
    </row>
    <row r="33" spans="5:13" x14ac:dyDescent="0.25">
      <c r="E33" s="27">
        <f t="shared" si="0"/>
        <v>1</v>
      </c>
      <c r="F33" s="98" t="s">
        <v>96</v>
      </c>
      <c r="G33" s="99" t="s">
        <v>97</v>
      </c>
      <c r="H33" s="99">
        <v>0.8</v>
      </c>
      <c r="I33" s="100">
        <v>7.0000000000000007E-2</v>
      </c>
      <c r="J33" s="107">
        <v>0.2</v>
      </c>
      <c r="M33" s="2"/>
    </row>
    <row r="34" spans="5:13" x14ac:dyDescent="0.25">
      <c r="E34" s="27">
        <f t="shared" si="0"/>
        <v>1</v>
      </c>
      <c r="F34" s="98" t="s">
        <v>124</v>
      </c>
      <c r="G34" s="99" t="s">
        <v>125</v>
      </c>
      <c r="H34" s="99">
        <v>0.79500000000000004</v>
      </c>
      <c r="I34" s="100">
        <v>7.0000000000000007E-2</v>
      </c>
      <c r="J34" s="107">
        <v>0.20499999999999999</v>
      </c>
      <c r="M34" s="2"/>
    </row>
    <row r="35" spans="5:13" x14ac:dyDescent="0.25">
      <c r="E35" s="27">
        <f t="shared" si="0"/>
        <v>1</v>
      </c>
      <c r="F35" s="98" t="s">
        <v>41</v>
      </c>
      <c r="G35" s="99" t="s">
        <v>92</v>
      </c>
      <c r="H35" s="99">
        <v>0.77500000000000002</v>
      </c>
      <c r="I35" s="100">
        <v>7.0000000000000007E-2</v>
      </c>
      <c r="J35" s="107">
        <v>0.22500000000000001</v>
      </c>
      <c r="M35" s="2"/>
    </row>
    <row r="36" spans="5:13" x14ac:dyDescent="0.25">
      <c r="E36" s="27">
        <f t="shared" si="0"/>
        <v>1</v>
      </c>
      <c r="F36" s="98" t="s">
        <v>64</v>
      </c>
      <c r="G36" s="99" t="s">
        <v>105</v>
      </c>
      <c r="H36" s="99">
        <v>0.80500000000000005</v>
      </c>
      <c r="I36" s="100">
        <v>0.12</v>
      </c>
      <c r="J36" s="107">
        <v>0.19500000000000001</v>
      </c>
      <c r="M36" s="2"/>
    </row>
    <row r="37" spans="5:13" x14ac:dyDescent="0.25">
      <c r="E37" s="27">
        <f t="shared" si="0"/>
        <v>1</v>
      </c>
      <c r="F37" s="98" t="s">
        <v>98</v>
      </c>
      <c r="G37" s="99" t="s">
        <v>99</v>
      </c>
      <c r="H37" s="99">
        <v>0.8</v>
      </c>
      <c r="I37" s="100">
        <v>7.0000000000000007E-2</v>
      </c>
      <c r="J37" s="107">
        <v>0.2</v>
      </c>
      <c r="M37" s="2"/>
    </row>
    <row r="38" spans="5:13" x14ac:dyDescent="0.25">
      <c r="E38" s="27">
        <f t="shared" si="0"/>
        <v>1</v>
      </c>
      <c r="F38" s="98" t="s">
        <v>42</v>
      </c>
      <c r="G38" s="99" t="s">
        <v>128</v>
      </c>
      <c r="H38" s="99">
        <v>0.80500000000000005</v>
      </c>
      <c r="I38" s="100">
        <v>7.0000000000000007E-2</v>
      </c>
      <c r="J38" s="107">
        <v>0.19500000000000001</v>
      </c>
      <c r="M38" s="2"/>
    </row>
    <row r="39" spans="5:13" x14ac:dyDescent="0.25">
      <c r="E39" s="27">
        <f t="shared" si="0"/>
        <v>1</v>
      </c>
      <c r="F39" s="98" t="s">
        <v>101</v>
      </c>
      <c r="G39" s="99" t="s">
        <v>102</v>
      </c>
      <c r="H39" s="99">
        <v>0.8</v>
      </c>
      <c r="I39" s="100">
        <v>7.0000000000000007E-2</v>
      </c>
      <c r="J39" s="107">
        <v>0.2</v>
      </c>
      <c r="M39" s="2"/>
    </row>
    <row r="40" spans="5:13" x14ac:dyDescent="0.25">
      <c r="E40" s="27">
        <f t="shared" si="0"/>
        <v>1</v>
      </c>
      <c r="F40" s="98" t="s">
        <v>137</v>
      </c>
      <c r="G40" s="99" t="s">
        <v>138</v>
      </c>
      <c r="H40" s="99">
        <v>0.83</v>
      </c>
      <c r="I40" s="100">
        <v>0.12</v>
      </c>
      <c r="J40" s="107">
        <v>0.17</v>
      </c>
      <c r="M40" s="2"/>
    </row>
    <row r="41" spans="5:13" x14ac:dyDescent="0.25">
      <c r="E41" s="27">
        <f t="shared" si="0"/>
        <v>1</v>
      </c>
      <c r="F41" s="98" t="s">
        <v>139</v>
      </c>
      <c r="G41" s="99" t="s">
        <v>140</v>
      </c>
      <c r="H41" s="99">
        <v>0.83</v>
      </c>
      <c r="I41" s="100">
        <v>0.12</v>
      </c>
      <c r="J41" s="107">
        <v>0.17</v>
      </c>
      <c r="M41" s="2"/>
    </row>
    <row r="42" spans="5:13" x14ac:dyDescent="0.25">
      <c r="E42" s="27">
        <f t="shared" si="0"/>
        <v>1</v>
      </c>
      <c r="F42" s="98" t="s">
        <v>114</v>
      </c>
      <c r="G42" s="99" t="s">
        <v>115</v>
      </c>
      <c r="H42" s="99">
        <v>0.81</v>
      </c>
      <c r="I42" s="100">
        <v>7.0000000000000007E-2</v>
      </c>
      <c r="J42" s="107">
        <v>0.19</v>
      </c>
      <c r="M42" s="2"/>
    </row>
    <row r="43" spans="5:13" x14ac:dyDescent="0.25">
      <c r="E43" s="27">
        <f t="shared" si="0"/>
        <v>1</v>
      </c>
      <c r="F43" s="98" t="s">
        <v>126</v>
      </c>
      <c r="G43" s="99" t="s">
        <v>127</v>
      </c>
      <c r="H43" s="99">
        <v>0.82</v>
      </c>
      <c r="I43" s="100">
        <v>0.12</v>
      </c>
      <c r="J43" s="107">
        <v>0.18</v>
      </c>
      <c r="M43" s="2"/>
    </row>
    <row r="44" spans="5:13" ht="15.75" thickBot="1" x14ac:dyDescent="0.3">
      <c r="E44" s="27">
        <f t="shared" si="0"/>
        <v>1</v>
      </c>
      <c r="F44" s="101" t="s">
        <v>103</v>
      </c>
      <c r="G44" s="102" t="s">
        <v>104</v>
      </c>
      <c r="H44" s="102">
        <v>0.8</v>
      </c>
      <c r="I44" s="103">
        <v>7.0000000000000007E-2</v>
      </c>
      <c r="J44" s="108">
        <v>0.2</v>
      </c>
      <c r="K44" s="3"/>
      <c r="L44" s="3"/>
      <c r="M44" s="4"/>
    </row>
  </sheetData>
  <autoFilter ref="F18:J44" xr:uid="{0A61B58F-815D-4573-AF82-2D256F496CEC}">
    <sortState xmlns:xlrd2="http://schemas.microsoft.com/office/spreadsheetml/2017/richdata2" ref="F19:J44">
      <sortCondition ref="F18:F44"/>
    </sortState>
  </autoFilter>
  <mergeCells count="6">
    <mergeCell ref="F14:M17"/>
    <mergeCell ref="B20:C20"/>
    <mergeCell ref="A1:C2"/>
    <mergeCell ref="A3:C3"/>
    <mergeCell ref="A4:C4"/>
    <mergeCell ref="A9:C9"/>
  </mergeCells>
  <phoneticPr fontId="7" type="noConversion"/>
  <conditionalFormatting sqref="B20:C20">
    <cfRule type="notContainsText" dxfId="1" priority="1" operator="notContains" text="Dados validados">
      <formula>ISERROR(SEARCH("Dados validados",B20))</formula>
    </cfRule>
    <cfRule type="containsText" dxfId="0" priority="2" operator="containsText" text="Dados validados">
      <formula>NOT(ISERROR(SEARCH("Dados validados",B20)))</formula>
    </cfRule>
  </conditionalFormatting>
  <dataValidations count="3">
    <dataValidation showDropDown="1" showInputMessage="1" showErrorMessage="1" sqref="B17 B11" xr:uid="{C02992A3-282F-4F26-963B-B6AA91ED8947}"/>
    <dataValidation type="list" allowBlank="1" showInputMessage="1" showErrorMessage="1" sqref="B6" xr:uid="{B3440373-5F31-49C8-B8C3-A128B5314839}">
      <formula1>$F$19:$F$44</formula1>
    </dataValidation>
    <dataValidation type="list" allowBlank="1" showInputMessage="1" showErrorMessage="1" sqref="B12" xr:uid="{5324B15C-E472-48EC-8BF1-BCD40A111CE4}">
      <formula1>"Nacional, Importado"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D53E-58BB-4F6F-B9E3-B3F3DF63E5E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713B2F57EA2D45B402AE4E76AA3EA8" ma:contentTypeVersion="19" ma:contentTypeDescription="Criar um novo documento." ma:contentTypeScope="" ma:versionID="6bdadf48beda67c9b6c6bdd3944bb481">
  <xsd:schema xmlns:xsd="http://www.w3.org/2001/XMLSchema" xmlns:xs="http://www.w3.org/2001/XMLSchema" xmlns:p="http://schemas.microsoft.com/office/2006/metadata/properties" xmlns:ns2="2569273d-d68d-4e58-9bc3-03deb647e18f" xmlns:ns3="178eb08f-a18d-4ed6-8ba6-2617d94200e7" targetNamespace="http://schemas.microsoft.com/office/2006/metadata/properties" ma:root="true" ma:fieldsID="f0711c36e8c813135b26932f686c5b03" ns2:_="" ns3:_="">
    <xsd:import namespace="2569273d-d68d-4e58-9bc3-03deb647e18f"/>
    <xsd:import namespace="178eb08f-a18d-4ed6-8ba6-2617d94200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9273d-d68d-4e58-9bc3-03deb647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3da71d-b22b-49d0-b32b-d756d3857fe2}" ma:internalName="TaxCatchAll" ma:showField="CatchAllData" ma:web="2569273d-d68d-4e58-9bc3-03deb647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eb08f-a18d-4ed6-8ba6-2617d94200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e8283762-4447-4d11-8130-0a1a7ab7b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69273d-d68d-4e58-9bc3-03deb647e18f" xsi:nil="true"/>
    <lcf76f155ced4ddcb4097134ff3c332f xmlns="178eb08f-a18d-4ed6-8ba6-2617d94200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0F904A-4127-424C-B493-10A545D93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69273d-d68d-4e58-9bc3-03deb647e18f"/>
    <ds:schemaRef ds:uri="178eb08f-a18d-4ed6-8ba6-2617d9420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26638D-F9B6-4EC0-BD0F-8CBBBFAD10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869143-6C0E-493C-B4FB-3CA0A3DC79E6}">
  <ds:schemaRefs>
    <ds:schemaRef ds:uri="http://schemas.microsoft.com/office/2006/metadata/properties"/>
    <ds:schemaRef ds:uri="http://schemas.microsoft.com/office/infopath/2007/PartnerControls"/>
    <ds:schemaRef ds:uri="2569273d-d68d-4e58-9bc3-03deb647e18f"/>
    <ds:schemaRef ds:uri="178eb08f-a18d-4ed6-8ba6-2617d94200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CFOP 6403</vt:lpstr>
      <vt:lpstr>CFOP 6108</vt:lpstr>
      <vt:lpstr>Planilha1</vt:lpstr>
      <vt:lpstr>'CFOP 6403'!_Hlk77758882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 de Souza</dc:creator>
  <cp:lastModifiedBy>Jacqueline | Platinum TI</cp:lastModifiedBy>
  <dcterms:created xsi:type="dcterms:W3CDTF">2022-11-12T01:09:09Z</dcterms:created>
  <dcterms:modified xsi:type="dcterms:W3CDTF">2026-03-30T17:09:12Z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0x010100B0713B2F57EA2D45B402AE4E76AA3EA8</vt:lpwstr>
  </property>
  <property fmtid="{D5CDD505-2E9C-101B-9397-08002B2CF9AE}" pid="3" name="MediaServiceImageTags">
    <vt:lpwstr/>
  </property>
</Properties>
</file>